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oys\Desktop\"/>
    </mc:Choice>
  </mc:AlternateContent>
  <xr:revisionPtr revIDLastSave="0" documentId="13_ncr:1_{2D3FBC36-6B61-4FF5-A121-4B4A8147C7AF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Liquidity stats" sheetId="7" r:id="rId1"/>
  </sheets>
  <functionGroups builtInGroupCount="19"/>
  <definedNames>
    <definedName name="ExternalData_1" localSheetId="0" hidden="1">'Liquidity stats'!$B$3:$F$15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" i="7" l="1"/>
  <c r="P41" i="7"/>
  <c r="R41" i="7"/>
  <c r="Q41" i="7"/>
  <c r="K4" i="7"/>
  <c r="L4" i="7"/>
  <c r="H5" i="7" l="1"/>
  <c r="I4" i="7"/>
  <c r="L5" i="7"/>
  <c r="K5" i="7"/>
  <c r="J5" i="7" l="1"/>
  <c r="H6" i="7"/>
  <c r="I5" i="7"/>
  <c r="K6" i="7"/>
  <c r="L6" i="7"/>
  <c r="J6" i="7" l="1"/>
  <c r="M4" i="7"/>
  <c r="H7" i="7"/>
  <c r="I6" i="7"/>
  <c r="L7" i="7"/>
  <c r="K7" i="7"/>
  <c r="J7" i="7" l="1"/>
  <c r="M5" i="7"/>
  <c r="H8" i="7"/>
  <c r="I7" i="7"/>
  <c r="L8" i="7"/>
  <c r="K8" i="7"/>
  <c r="J8" i="7" l="1"/>
  <c r="H9" i="7"/>
  <c r="I8" i="7"/>
  <c r="M6" i="7"/>
  <c r="K9" i="7"/>
  <c r="L9" i="7"/>
  <c r="J9" i="7" l="1"/>
  <c r="H10" i="7"/>
  <c r="I9" i="7"/>
  <c r="M7" i="7"/>
  <c r="K10" i="7"/>
  <c r="L10" i="7"/>
  <c r="J10" i="7" l="1"/>
  <c r="M8" i="7"/>
  <c r="H11" i="7"/>
  <c r="I10" i="7"/>
  <c r="L11" i="7"/>
  <c r="K11" i="7"/>
  <c r="J11" i="7" l="1"/>
  <c r="H12" i="7"/>
  <c r="I11" i="7"/>
  <c r="M9" i="7"/>
  <c r="L12" i="7"/>
  <c r="K12" i="7"/>
  <c r="J12" i="7" l="1"/>
  <c r="M10" i="7"/>
  <c r="H13" i="7"/>
  <c r="I12" i="7"/>
  <c r="K13" i="7"/>
  <c r="L13" i="7"/>
  <c r="J13" i="7" l="1"/>
  <c r="M11" i="7"/>
  <c r="H14" i="7"/>
  <c r="I13" i="7"/>
  <c r="K14" i="7"/>
  <c r="L14" i="7"/>
  <c r="J14" i="7" l="1"/>
  <c r="M12" i="7"/>
  <c r="H15" i="7"/>
  <c r="I14" i="7"/>
  <c r="K15" i="7"/>
  <c r="L15" i="7"/>
  <c r="J15" i="7" l="1"/>
  <c r="M13" i="7"/>
  <c r="H16" i="7"/>
  <c r="I15" i="7"/>
  <c r="K16" i="7"/>
  <c r="L16" i="7"/>
  <c r="J16" i="7" l="1"/>
  <c r="M14" i="7"/>
  <c r="H17" i="7"/>
  <c r="I16" i="7"/>
  <c r="K17" i="7"/>
  <c r="L17" i="7"/>
  <c r="J17" i="7" l="1"/>
  <c r="M15" i="7"/>
  <c r="H18" i="7"/>
  <c r="I17" i="7"/>
  <c r="K18" i="7"/>
  <c r="L18" i="7"/>
  <c r="J18" i="7" l="1"/>
  <c r="M16" i="7"/>
  <c r="I18" i="7"/>
  <c r="H19" i="7"/>
  <c r="K19" i="7"/>
  <c r="L19" i="7"/>
  <c r="J19" i="7" l="1"/>
  <c r="H20" i="7"/>
  <c r="I19" i="7"/>
  <c r="M17" i="7"/>
  <c r="K20" i="7"/>
  <c r="L20" i="7"/>
  <c r="J20" i="7" l="1"/>
  <c r="M18" i="7"/>
  <c r="I20" i="7"/>
  <c r="H21" i="7"/>
  <c r="L21" i="7"/>
  <c r="K21" i="7"/>
  <c r="J21" i="7" l="1"/>
  <c r="H22" i="7"/>
  <c r="I21" i="7"/>
  <c r="M19" i="7"/>
  <c r="L22" i="7"/>
  <c r="K22" i="7"/>
  <c r="J22" i="7" l="1"/>
  <c r="I22" i="7"/>
  <c r="H23" i="7"/>
  <c r="M20" i="7"/>
  <c r="L23" i="7"/>
  <c r="K23" i="7"/>
  <c r="J23" i="7" l="1"/>
  <c r="M21" i="7"/>
  <c r="I23" i="7"/>
  <c r="H24" i="7"/>
  <c r="K24" i="7"/>
  <c r="L24" i="7"/>
  <c r="J24" i="7" l="1"/>
  <c r="M22" i="7"/>
  <c r="H25" i="7"/>
  <c r="I24" i="7"/>
  <c r="K25" i="7"/>
  <c r="L25" i="7"/>
  <c r="J25" i="7" l="1"/>
  <c r="M23" i="7"/>
  <c r="I25" i="7"/>
  <c r="H26" i="7"/>
  <c r="K26" i="7"/>
  <c r="L26" i="7"/>
  <c r="J26" i="7" l="1"/>
  <c r="M24" i="7"/>
  <c r="H27" i="7"/>
  <c r="I26" i="7"/>
  <c r="K27" i="7"/>
  <c r="L27" i="7"/>
  <c r="J27" i="7" l="1"/>
  <c r="M25" i="7"/>
  <c r="H28" i="7"/>
  <c r="I27" i="7"/>
  <c r="K28" i="7"/>
  <c r="L28" i="7"/>
  <c r="J28" i="7" l="1"/>
  <c r="H29" i="7"/>
  <c r="I28" i="7"/>
  <c r="M26" i="7"/>
  <c r="K29" i="7"/>
  <c r="L29" i="7"/>
  <c r="J29" i="7" l="1"/>
  <c r="H30" i="7"/>
  <c r="I29" i="7"/>
  <c r="M27" i="7"/>
  <c r="K30" i="7"/>
  <c r="L30" i="7"/>
  <c r="J30" i="7" l="1"/>
  <c r="I30" i="7"/>
  <c r="H31" i="7"/>
  <c r="M28" i="7"/>
  <c r="K31" i="7"/>
  <c r="L31" i="7"/>
  <c r="J31" i="7" l="1"/>
  <c r="I31" i="7"/>
  <c r="H32" i="7"/>
  <c r="M29" i="7"/>
  <c r="K32" i="7"/>
  <c r="L32" i="7"/>
  <c r="J32" i="7" l="1"/>
  <c r="M30" i="7"/>
  <c r="I32" i="7"/>
  <c r="H33" i="7"/>
  <c r="K33" i="7"/>
  <c r="L33" i="7"/>
  <c r="J33" i="7" l="1"/>
  <c r="H34" i="7"/>
  <c r="I33" i="7"/>
  <c r="M31" i="7"/>
  <c r="K34" i="7"/>
  <c r="L34" i="7"/>
  <c r="J34" i="7" l="1"/>
  <c r="M32" i="7"/>
  <c r="I34" i="7"/>
  <c r="H35" i="7"/>
  <c r="K35" i="7"/>
  <c r="L35" i="7"/>
  <c r="J35" i="7" l="1"/>
  <c r="M33" i="7"/>
  <c r="I35" i="7"/>
  <c r="H36" i="7"/>
  <c r="K36" i="7"/>
  <c r="L36" i="7"/>
  <c r="J36" i="7" l="1"/>
  <c r="I36" i="7"/>
  <c r="H37" i="7"/>
  <c r="M34" i="7"/>
  <c r="L37" i="7"/>
  <c r="K37" i="7"/>
  <c r="J37" i="7" l="1"/>
  <c r="H38" i="7"/>
  <c r="I37" i="7"/>
  <c r="M35" i="7"/>
  <c r="L38" i="7"/>
  <c r="K38" i="7"/>
  <c r="J38" i="7" l="1"/>
  <c r="I38" i="7"/>
  <c r="H39" i="7"/>
  <c r="M36" i="7"/>
  <c r="L39" i="7"/>
  <c r="K39" i="7"/>
  <c r="J39" i="7" l="1"/>
  <c r="M37" i="7"/>
  <c r="I39" i="7"/>
  <c r="H40" i="7"/>
  <c r="K40" i="7"/>
  <c r="L40" i="7"/>
  <c r="J40" i="7" l="1"/>
  <c r="I40" i="7"/>
  <c r="H41" i="7"/>
  <c r="M38" i="7"/>
  <c r="L41" i="7"/>
  <c r="K41" i="7"/>
  <c r="J41" i="7" l="1"/>
  <c r="H42" i="7"/>
  <c r="I41" i="7"/>
  <c r="M39" i="7"/>
  <c r="L42" i="7"/>
  <c r="K42" i="7"/>
  <c r="J42" i="7" l="1"/>
  <c r="I42" i="7"/>
  <c r="H43" i="7"/>
  <c r="M40" i="7"/>
  <c r="L43" i="7"/>
  <c r="K43" i="7"/>
  <c r="J43" i="7" l="1"/>
  <c r="I43" i="7"/>
  <c r="H44" i="7"/>
  <c r="M41" i="7"/>
  <c r="L44" i="7"/>
  <c r="K44" i="7"/>
  <c r="J44" i="7" l="1"/>
  <c r="M42" i="7"/>
  <c r="I44" i="7"/>
  <c r="H45" i="7"/>
  <c r="K45" i="7"/>
  <c r="L45" i="7"/>
  <c r="J45" i="7" l="1"/>
  <c r="H46" i="7"/>
  <c r="I45" i="7"/>
  <c r="M43" i="7"/>
  <c r="K46" i="7"/>
  <c r="L46" i="7"/>
  <c r="J46" i="7" l="1"/>
  <c r="I46" i="7"/>
  <c r="H47" i="7"/>
  <c r="M44" i="7"/>
  <c r="K47" i="7"/>
  <c r="L47" i="7"/>
  <c r="J47" i="7" l="1"/>
  <c r="I47" i="7"/>
  <c r="H48" i="7"/>
  <c r="M45" i="7"/>
  <c r="K48" i="7"/>
  <c r="L48" i="7"/>
  <c r="J48" i="7" l="1"/>
  <c r="M46" i="7"/>
  <c r="I48" i="7"/>
  <c r="H49" i="7"/>
  <c r="K49" i="7"/>
  <c r="L49" i="7"/>
  <c r="J49" i="7" l="1"/>
  <c r="H50" i="7"/>
  <c r="I49" i="7"/>
  <c r="M47" i="7"/>
  <c r="L50" i="7"/>
  <c r="K50" i="7"/>
  <c r="J50" i="7" l="1"/>
  <c r="I50" i="7"/>
  <c r="H51" i="7"/>
  <c r="M48" i="7"/>
  <c r="K51" i="7"/>
  <c r="L51" i="7"/>
  <c r="J51" i="7" l="1"/>
  <c r="I51" i="7"/>
  <c r="H52" i="7"/>
  <c r="M49" i="7"/>
  <c r="K52" i="7"/>
  <c r="L52" i="7"/>
  <c r="J52" i="7" l="1"/>
  <c r="M50" i="7"/>
  <c r="I52" i="7"/>
  <c r="H53" i="7"/>
  <c r="K53" i="7"/>
  <c r="L53" i="7"/>
  <c r="J53" i="7" l="1"/>
  <c r="H54" i="7"/>
  <c r="I53" i="7"/>
  <c r="M51" i="7"/>
  <c r="L54" i="7"/>
  <c r="K54" i="7"/>
  <c r="J54" i="7" l="1"/>
  <c r="I54" i="7"/>
  <c r="H55" i="7"/>
  <c r="M52" i="7"/>
  <c r="L55" i="7"/>
  <c r="K55" i="7"/>
  <c r="J55" i="7" l="1"/>
  <c r="I55" i="7"/>
  <c r="H56" i="7"/>
  <c r="M53" i="7"/>
  <c r="K56" i="7"/>
  <c r="L56" i="7"/>
  <c r="J56" i="7" l="1"/>
  <c r="M54" i="7"/>
  <c r="I56" i="7"/>
  <c r="H57" i="7"/>
  <c r="K57" i="7"/>
  <c r="L57" i="7"/>
  <c r="J57" i="7" l="1"/>
  <c r="H58" i="7"/>
  <c r="I57" i="7"/>
  <c r="M55" i="7"/>
  <c r="K58" i="7"/>
  <c r="L58" i="7"/>
  <c r="J58" i="7" l="1"/>
  <c r="I58" i="7"/>
  <c r="H59" i="7"/>
  <c r="M56" i="7"/>
  <c r="K59" i="7"/>
  <c r="L59" i="7"/>
  <c r="J59" i="7" l="1"/>
  <c r="I59" i="7"/>
  <c r="H60" i="7"/>
  <c r="M57" i="7"/>
  <c r="K60" i="7"/>
  <c r="L60" i="7"/>
  <c r="J60" i="7" l="1"/>
  <c r="M58" i="7"/>
  <c r="I60" i="7"/>
  <c r="H61" i="7"/>
  <c r="K61" i="7"/>
  <c r="L61" i="7"/>
  <c r="J61" i="7" l="1"/>
  <c r="H62" i="7"/>
  <c r="I61" i="7"/>
  <c r="M59" i="7"/>
  <c r="K62" i="7"/>
  <c r="L62" i="7"/>
  <c r="J62" i="7" l="1"/>
  <c r="I62" i="7"/>
  <c r="H63" i="7"/>
  <c r="M60" i="7"/>
  <c r="K63" i="7"/>
  <c r="L63" i="7"/>
  <c r="J63" i="7" l="1"/>
  <c r="I63" i="7"/>
  <c r="H64" i="7"/>
  <c r="M61" i="7"/>
  <c r="K64" i="7"/>
  <c r="L64" i="7"/>
  <c r="J64" i="7" l="1"/>
  <c r="M62" i="7"/>
  <c r="I64" i="7"/>
  <c r="H65" i="7"/>
  <c r="K65" i="7"/>
  <c r="L65" i="7"/>
  <c r="J65" i="7" l="1"/>
  <c r="M63" i="7"/>
  <c r="H66" i="7"/>
  <c r="I65" i="7"/>
  <c r="L66" i="7"/>
  <c r="K66" i="7"/>
  <c r="J66" i="7" l="1"/>
  <c r="I66" i="7"/>
  <c r="H67" i="7"/>
  <c r="M64" i="7"/>
  <c r="K67" i="7"/>
  <c r="L67" i="7"/>
  <c r="J67" i="7" l="1"/>
  <c r="I67" i="7"/>
  <c r="H68" i="7"/>
  <c r="M65" i="7"/>
  <c r="K68" i="7"/>
  <c r="L68" i="7"/>
  <c r="J68" i="7" l="1"/>
  <c r="M66" i="7"/>
  <c r="I68" i="7"/>
  <c r="H69" i="7"/>
  <c r="L69" i="7"/>
  <c r="K69" i="7"/>
  <c r="J69" i="7" l="1"/>
  <c r="H70" i="7"/>
  <c r="I69" i="7"/>
  <c r="M67" i="7"/>
  <c r="L70" i="7"/>
  <c r="K70" i="7"/>
  <c r="J70" i="7" l="1"/>
  <c r="I70" i="7"/>
  <c r="H71" i="7"/>
  <c r="M68" i="7"/>
  <c r="K71" i="7"/>
  <c r="L71" i="7"/>
  <c r="J71" i="7" l="1"/>
  <c r="I71" i="7"/>
  <c r="H72" i="7"/>
  <c r="M69" i="7"/>
  <c r="K72" i="7"/>
  <c r="L72" i="7"/>
  <c r="J72" i="7" l="1"/>
  <c r="M70" i="7"/>
  <c r="I72" i="7"/>
  <c r="H73" i="7"/>
  <c r="K73" i="7"/>
  <c r="L73" i="7"/>
  <c r="J73" i="7" l="1"/>
  <c r="H74" i="7"/>
  <c r="I73" i="7"/>
  <c r="M71" i="7"/>
  <c r="K74" i="7"/>
  <c r="L74" i="7"/>
  <c r="J74" i="7" l="1"/>
  <c r="M72" i="7"/>
  <c r="I74" i="7"/>
  <c r="H75" i="7"/>
  <c r="K75" i="7"/>
  <c r="L75" i="7"/>
  <c r="J75" i="7" l="1"/>
  <c r="I75" i="7"/>
  <c r="H76" i="7"/>
  <c r="M73" i="7"/>
  <c r="K76" i="7"/>
  <c r="L76" i="7"/>
  <c r="J76" i="7" l="1"/>
  <c r="I76" i="7"/>
  <c r="H77" i="7"/>
  <c r="M74" i="7"/>
  <c r="L77" i="7"/>
  <c r="K77" i="7"/>
  <c r="J77" i="7" l="1"/>
  <c r="H78" i="7"/>
  <c r="I77" i="7"/>
  <c r="M75" i="7"/>
  <c r="L78" i="7"/>
  <c r="K78" i="7"/>
  <c r="J78" i="7" l="1"/>
  <c r="I78" i="7"/>
  <c r="M76" i="7"/>
  <c r="M78" i="7" l="1"/>
  <c r="M77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83469EF-B5A8-4015-97DB-D14DF774333D}" keepAlive="1" name="Query - positions" description="Connection to the 'positions' query in the workbook." type="5" refreshedVersion="8" background="1" saveData="1">
    <dbPr connection="Provider=Microsoft.Mashup.OleDb.1;Data Source=$Workbook$;Location=positions;Extended Properties=&quot;&quot;" command="SELECT * FROM [positions]"/>
  </connection>
</connections>
</file>

<file path=xl/sharedStrings.xml><?xml version="1.0" encoding="utf-8"?>
<sst xmlns="http://schemas.openxmlformats.org/spreadsheetml/2006/main" count="20" uniqueCount="17">
  <si>
    <t>p'</t>
  </si>
  <si>
    <t>P</t>
  </si>
  <si>
    <t>t-</t>
  </si>
  <si>
    <t>t+</t>
  </si>
  <si>
    <t>eth price</t>
  </si>
  <si>
    <t>.</t>
  </si>
  <si>
    <t>T/ETH</t>
  </si>
  <si>
    <t>total L</t>
  </si>
  <si>
    <t>Liquidity</t>
  </si>
  <si>
    <t>Locks y</t>
  </si>
  <si>
    <t>WETH x</t>
  </si>
  <si>
    <t>CURRENT</t>
  </si>
  <si>
    <t>tick</t>
  </si>
  <si>
    <t>Positions</t>
  </si>
  <si>
    <t>Pa</t>
  </si>
  <si>
    <t>Pb</t>
  </si>
  <si>
    <t>Tokens 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</si>
</sst>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" fontId="0" fillId="0" borderId="0" xfId="0" applyNumberFormat="1"/>
  </cellXfs>
  <cellStyles count="1">
    <cellStyle name="Normal" xfId="0" builtinId="0"/>
  </cellStyles>
  <dxfs count="1"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CH"/>
              <a:t>Price depending on liquidity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'Liquidity stats'!$K$4:$K$78</c:f>
              <c:numCache>
                <c:formatCode>General</c:formatCode>
                <c:ptCount val="75"/>
                <c:pt idx="0">
                  <c:v>201.53178044325605</c:v>
                </c:pt>
                <c:pt idx="1">
                  <c:v>210.07422658023285</c:v>
                </c:pt>
                <c:pt idx="2">
                  <c:v>218.83859139062446</c:v>
                </c:pt>
                <c:pt idx="3">
                  <c:v>227.83063995586318</c:v>
                </c:pt>
                <c:pt idx="4">
                  <c:v>237.0562871246965</c:v>
                </c:pt>
                <c:pt idx="5">
                  <c:v>246.52160140389509</c:v>
                </c:pt>
                <c:pt idx="6">
                  <c:v>254.53306375569991</c:v>
                </c:pt>
                <c:pt idx="7">
                  <c:v>262.08578381904829</c:v>
                </c:pt>
                <c:pt idx="8">
                  <c:v>269.83471110340292</c:v>
                </c:pt>
                <c:pt idx="9">
                  <c:v>277.78494274903278</c:v>
                </c:pt>
                <c:pt idx="10">
                  <c:v>285.94170831151132</c:v>
                </c:pt>
                <c:pt idx="11">
                  <c:v>294.31037320164802</c:v>
                </c:pt>
                <c:pt idx="12">
                  <c:v>302.89644221478335</c:v>
                </c:pt>
                <c:pt idx="13">
                  <c:v>311.70556315176935</c:v>
                </c:pt>
                <c:pt idx="14">
                  <c:v>320.73059704713182</c:v>
                </c:pt>
                <c:pt idx="15">
                  <c:v>329.98899211380439</c:v>
                </c:pt>
                <c:pt idx="16">
                  <c:v>339.4879050272624</c:v>
                </c:pt>
                <c:pt idx="17">
                  <c:v>349.23358404481252</c:v>
                </c:pt>
                <c:pt idx="18">
                  <c:v>359.23243974318939</c:v>
                </c:pt>
                <c:pt idx="19">
                  <c:v>370.18700668799886</c:v>
                </c:pt>
                <c:pt idx="20">
                  <c:v>390.18642252690347</c:v>
                </c:pt>
                <c:pt idx="21">
                  <c:v>410.70539023196852</c:v>
                </c:pt>
                <c:pt idx="22">
                  <c:v>431.7574069044997</c:v>
                </c:pt>
                <c:pt idx="23">
                  <c:v>453.35632027825244</c:v>
                </c:pt>
                <c:pt idx="24">
                  <c:v>475.51633782828532</c:v>
                </c:pt>
                <c:pt idx="25">
                  <c:v>498.25203611644599</c:v>
                </c:pt>
                <c:pt idx="26">
                  <c:v>521.57837037963839</c:v>
                </c:pt>
                <c:pt idx="27">
                  <c:v>552.38246620300288</c:v>
                </c:pt>
                <c:pt idx="28">
                  <c:v>602.19293056805395</c:v>
                </c:pt>
                <c:pt idx="29">
                  <c:v>653.29738871390509</c:v>
                </c:pt>
                <c:pt idx="30">
                  <c:v>705.72945646659014</c:v>
                </c:pt>
                <c:pt idx="31">
                  <c:v>759.52362293590727</c:v>
                </c:pt>
                <c:pt idx="32">
                  <c:v>814.71527320189148</c:v>
                </c:pt>
                <c:pt idx="33">
                  <c:v>865.85187461262558</c:v>
                </c:pt>
                <c:pt idx="34">
                  <c:v>917.08034580434025</c:v>
                </c:pt>
                <c:pt idx="35">
                  <c:v>969.63964825745779</c:v>
                </c:pt>
                <c:pt idx="36">
                  <c:v>1023.5643547750523</c:v>
                </c:pt>
                <c:pt idx="37">
                  <c:v>1078.8899363046492</c:v>
                </c:pt>
                <c:pt idx="38">
                  <c:v>1135.6527852705381</c:v>
                </c:pt>
                <c:pt idx="39">
                  <c:v>1193.8902395122195</c:v>
                </c:pt>
                <c:pt idx="40">
                  <c:v>1253.6406068447338</c:v>
                </c:pt>
                <c:pt idx="41">
                  <c:v>1331.6262321174202</c:v>
                </c:pt>
                <c:pt idx="42">
                  <c:v>1421.5514115799592</c:v>
                </c:pt>
                <c:pt idx="43">
                  <c:v>1513.8126990158967</c:v>
                </c:pt>
                <c:pt idx="44">
                  <c:v>1608.4707826606746</c:v>
                </c:pt>
                <c:pt idx="45">
                  <c:v>1705.587927330082</c:v>
                </c:pt>
                <c:pt idx="46">
                  <c:v>1796.7511198387763</c:v>
                </c:pt>
                <c:pt idx="47">
                  <c:v>1848.8670161104801</c:v>
                </c:pt>
                <c:pt idx="48">
                  <c:v>1902.3367974847633</c:v>
                </c:pt>
                <c:pt idx="49">
                  <c:v>1957.1956356655046</c:v>
                </c:pt>
                <c:pt idx="50">
                  <c:v>2013.4796160594872</c:v>
                </c:pt>
                <c:pt idx="51">
                  <c:v>2071.2257615128992</c:v>
                </c:pt>
                <c:pt idx="52">
                  <c:v>2130.4720566644596</c:v>
                </c:pt>
                <c:pt idx="53">
                  <c:v>2191.2574729312087</c:v>
                </c:pt>
                <c:pt idx="54">
                  <c:v>2253.6219941433783</c:v>
                </c:pt>
                <c:pt idx="55">
                  <c:v>2317.6066428452195</c:v>
                </c:pt>
                <c:pt idx="56">
                  <c:v>2383.2535072790815</c:v>
                </c:pt>
                <c:pt idx="57">
                  <c:v>2450.6057690704934</c:v>
                </c:pt>
                <c:pt idx="58">
                  <c:v>2519.7077316324539</c:v>
                </c:pt>
                <c:pt idx="59">
                  <c:v>2590.6048493076241</c:v>
                </c:pt>
                <c:pt idx="60">
                  <c:v>2673.6986868439312</c:v>
                </c:pt>
                <c:pt idx="61">
                  <c:v>2768.4257371842277</c:v>
                </c:pt>
                <c:pt idx="62">
                  <c:v>2865.6136401902531</c:v>
                </c:pt>
                <c:pt idx="63">
                  <c:v>2965.3263247589866</c:v>
                </c:pt>
                <c:pt idx="64">
                  <c:v>3067.629380554803</c:v>
                </c:pt>
                <c:pt idx="65">
                  <c:v>3172.5901011534693</c:v>
                </c:pt>
                <c:pt idx="66">
                  <c:v>3280.2775283069604</c:v>
                </c:pt>
                <c:pt idx="67">
                  <c:v>3390.7624973581892</c:v>
                </c:pt>
                <c:pt idx="68">
                  <c:v>3504.1176838355477</c:v>
                </c:pt>
                <c:pt idx="69">
                  <c:v>3620.4176512578933</c:v>
                </c:pt>
                <c:pt idx="70">
                  <c:v>3739.7389001814286</c:v>
                </c:pt>
                <c:pt idx="71">
                  <c:v>3862.1599185207397</c:v>
                </c:pt>
                <c:pt idx="72">
                  <c:v>3987.7612331770933</c:v>
                </c:pt>
                <c:pt idx="73">
                  <c:v>4116.6254630079475</c:v>
                </c:pt>
                <c:pt idx="74">
                  <c:v>4235.5983981482914</c:v>
                </c:pt>
              </c:numCache>
            </c:numRef>
          </c:xVal>
          <c:yVal>
            <c:numRef>
              <c:f>'Liquidity stats'!$I$4:$I$78</c:f>
              <c:numCache>
                <c:formatCode>General</c:formatCode>
                <c:ptCount val="75"/>
                <c:pt idx="0">
                  <c:v>0.24</c:v>
                </c:pt>
                <c:pt idx="1">
                  <c:v>0.25263157894736843</c:v>
                </c:pt>
                <c:pt idx="2">
                  <c:v>0.26592797783933519</c:v>
                </c:pt>
                <c:pt idx="3">
                  <c:v>0.27992418719930018</c:v>
                </c:pt>
                <c:pt idx="4">
                  <c:v>0.29465703915715813</c:v>
                </c:pt>
                <c:pt idx="5">
                  <c:v>0.31016530437595591</c:v>
                </c:pt>
                <c:pt idx="6">
                  <c:v>0.3264897940799536</c:v>
                </c:pt>
                <c:pt idx="7">
                  <c:v>0.34367346745258276</c:v>
                </c:pt>
                <c:pt idx="8">
                  <c:v>0.36176154468692928</c:v>
                </c:pt>
                <c:pt idx="9">
                  <c:v>0.38080162598624134</c:v>
                </c:pt>
                <c:pt idx="10">
                  <c:v>0.40084381682762243</c:v>
                </c:pt>
                <c:pt idx="11">
                  <c:v>0.42194085981854995</c:v>
                </c:pt>
                <c:pt idx="12">
                  <c:v>0.44414827349321051</c:v>
                </c:pt>
                <c:pt idx="13">
                  <c:v>0.46752449841390586</c:v>
                </c:pt>
                <c:pt idx="14">
                  <c:v>0.4921310509620061</c:v>
                </c:pt>
                <c:pt idx="15">
                  <c:v>0.51803268522316448</c:v>
                </c:pt>
                <c:pt idx="16">
                  <c:v>0.54529756339280466</c:v>
                </c:pt>
                <c:pt idx="17">
                  <c:v>0.57399743515032076</c:v>
                </c:pt>
                <c:pt idx="18">
                  <c:v>0.60420782647402194</c:v>
                </c:pt>
                <c:pt idx="19">
                  <c:v>0.63600823839370735</c:v>
                </c:pt>
                <c:pt idx="20">
                  <c:v>0.6694823562039024</c:v>
                </c:pt>
                <c:pt idx="21">
                  <c:v>0.70471826968831841</c:v>
                </c:pt>
                <c:pt idx="22">
                  <c:v>0.74180870493507201</c:v>
                </c:pt>
                <c:pt idx="23">
                  <c:v>0.78085126835270746</c:v>
                </c:pt>
                <c:pt idx="24">
                  <c:v>0.82194870352916583</c:v>
                </c:pt>
                <c:pt idx="25">
                  <c:v>0.86520916160964823</c:v>
                </c:pt>
                <c:pt idx="26">
                  <c:v>0.91074648590489282</c:v>
                </c:pt>
                <c:pt idx="27">
                  <c:v>0.95868051147883471</c:v>
                </c:pt>
                <c:pt idx="28">
                  <c:v>1.0091373805040367</c:v>
                </c:pt>
                <c:pt idx="29">
                  <c:v>1.0622498742147755</c:v>
                </c:pt>
                <c:pt idx="30">
                  <c:v>1.1181577623313426</c:v>
                </c:pt>
                <c:pt idx="31">
                  <c:v>1.1770081708750975</c:v>
                </c:pt>
                <c:pt idx="32">
                  <c:v>1.2389559693422081</c:v>
                </c:pt>
                <c:pt idx="33">
                  <c:v>1.3041641782549558</c:v>
                </c:pt>
                <c:pt idx="34">
                  <c:v>1.3728043981631115</c:v>
                </c:pt>
                <c:pt idx="35">
                  <c:v>1.445057261224328</c:v>
                </c:pt>
                <c:pt idx="36">
                  <c:v>1.5211129065519242</c:v>
                </c:pt>
                <c:pt idx="37">
                  <c:v>1.6011714805809729</c:v>
                </c:pt>
                <c:pt idx="38">
                  <c:v>1.6854436637694452</c:v>
                </c:pt>
                <c:pt idx="39">
                  <c:v>1.7741512250204687</c:v>
                </c:pt>
                <c:pt idx="40">
                  <c:v>1.8675276052847043</c:v>
                </c:pt>
                <c:pt idx="41">
                  <c:v>1.9658185318786361</c:v>
                </c:pt>
                <c:pt idx="42">
                  <c:v>2.0692826651354066</c:v>
                </c:pt>
                <c:pt idx="43">
                  <c:v>2.178192279089902</c:v>
                </c:pt>
                <c:pt idx="44">
                  <c:v>2.2928339779893703</c:v>
                </c:pt>
                <c:pt idx="45">
                  <c:v>2.4135094505151269</c:v>
                </c:pt>
                <c:pt idx="46">
                  <c:v>2.5405362637001336</c:v>
                </c:pt>
                <c:pt idx="47">
                  <c:v>2.6742486986317195</c:v>
                </c:pt>
                <c:pt idx="48">
                  <c:v>2.814998630138652</c:v>
                </c:pt>
                <c:pt idx="49">
                  <c:v>2.9631564527775294</c:v>
                </c:pt>
                <c:pt idx="50">
                  <c:v>3.119112055555294</c:v>
                </c:pt>
                <c:pt idx="51">
                  <c:v>3.2832758479529414</c:v>
                </c:pt>
                <c:pt idx="52">
                  <c:v>3.4560798399504646</c:v>
                </c:pt>
                <c:pt idx="53">
                  <c:v>3.6379787788952256</c:v>
                </c:pt>
                <c:pt idx="54">
                  <c:v>3.8294513462055013</c:v>
                </c:pt>
                <c:pt idx="55">
                  <c:v>4.0310014170584232</c:v>
                </c:pt>
                <c:pt idx="56">
                  <c:v>4.2431593863772878</c:v>
                </c:pt>
                <c:pt idx="57">
                  <c:v>4.4664835646076719</c:v>
                </c:pt>
                <c:pt idx="58">
                  <c:v>4.7015616469554447</c:v>
                </c:pt>
                <c:pt idx="59">
                  <c:v>4.9490122599530988</c:v>
                </c:pt>
                <c:pt idx="60">
                  <c:v>5.2094865894243148</c:v>
                </c:pt>
                <c:pt idx="61">
                  <c:v>5.4836700941308578</c:v>
                </c:pt>
                <c:pt idx="62">
                  <c:v>5.7722843096114298</c:v>
                </c:pt>
                <c:pt idx="63">
                  <c:v>6.0760887469593996</c:v>
                </c:pt>
                <c:pt idx="64">
                  <c:v>6.3958828915362096</c:v>
                </c:pt>
                <c:pt idx="65">
                  <c:v>6.7325083068802209</c:v>
                </c:pt>
                <c:pt idx="66">
                  <c:v>7.0868508493476021</c:v>
                </c:pt>
                <c:pt idx="67">
                  <c:v>7.459842999313266</c:v>
                </c:pt>
                <c:pt idx="68">
                  <c:v>7.8524663150665965</c:v>
                </c:pt>
                <c:pt idx="69">
                  <c:v>8.2657540158595761</c:v>
                </c:pt>
                <c:pt idx="70">
                  <c:v>8.700793700904816</c:v>
                </c:pt>
                <c:pt idx="71">
                  <c:v>9.1587302114787548</c:v>
                </c:pt>
                <c:pt idx="72">
                  <c:v>9.6407686436618487</c:v>
                </c:pt>
                <c:pt idx="73">
                  <c:v>10.148177519644053</c:v>
                </c:pt>
                <c:pt idx="74">
                  <c:v>10.682292125941109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971-438C-BD3A-F37ACBD137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834240"/>
        <c:axId val="100834600"/>
      </c:scatterChart>
      <c:valAx>
        <c:axId val="1008342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CH"/>
                  <a:t>ETH in liq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0834600"/>
        <c:crosses val="autoZero"/>
        <c:crossBetween val="midCat"/>
      </c:valAx>
      <c:valAx>
        <c:axId val="100834600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CH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0834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Price</a:t>
            </a:r>
            <a:r>
              <a:rPr lang="en-US" baseline="0"/>
              <a:t> variation depending on price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'Liquidity stats'!$I$4:$I$78</c:f>
              <c:numCache>
                <c:formatCode>General</c:formatCode>
                <c:ptCount val="75"/>
                <c:pt idx="0">
                  <c:v>0.24</c:v>
                </c:pt>
                <c:pt idx="1">
                  <c:v>0.25263157894736843</c:v>
                </c:pt>
                <c:pt idx="2">
                  <c:v>0.26592797783933519</c:v>
                </c:pt>
                <c:pt idx="3">
                  <c:v>0.27992418719930018</c:v>
                </c:pt>
                <c:pt idx="4">
                  <c:v>0.29465703915715813</c:v>
                </c:pt>
                <c:pt idx="5">
                  <c:v>0.31016530437595591</c:v>
                </c:pt>
                <c:pt idx="6">
                  <c:v>0.3264897940799536</c:v>
                </c:pt>
                <c:pt idx="7">
                  <c:v>0.34367346745258276</c:v>
                </c:pt>
                <c:pt idx="8">
                  <c:v>0.36176154468692928</c:v>
                </c:pt>
                <c:pt idx="9">
                  <c:v>0.38080162598624134</c:v>
                </c:pt>
                <c:pt idx="10">
                  <c:v>0.40084381682762243</c:v>
                </c:pt>
                <c:pt idx="11">
                  <c:v>0.42194085981854995</c:v>
                </c:pt>
                <c:pt idx="12">
                  <c:v>0.44414827349321051</c:v>
                </c:pt>
                <c:pt idx="13">
                  <c:v>0.46752449841390586</c:v>
                </c:pt>
                <c:pt idx="14">
                  <c:v>0.4921310509620061</c:v>
                </c:pt>
                <c:pt idx="15">
                  <c:v>0.51803268522316448</c:v>
                </c:pt>
                <c:pt idx="16">
                  <c:v>0.54529756339280466</c:v>
                </c:pt>
                <c:pt idx="17">
                  <c:v>0.57399743515032076</c:v>
                </c:pt>
                <c:pt idx="18">
                  <c:v>0.60420782647402194</c:v>
                </c:pt>
                <c:pt idx="19">
                  <c:v>0.63600823839370735</c:v>
                </c:pt>
                <c:pt idx="20">
                  <c:v>0.6694823562039024</c:v>
                </c:pt>
                <c:pt idx="21">
                  <c:v>0.70471826968831841</c:v>
                </c:pt>
                <c:pt idx="22">
                  <c:v>0.74180870493507201</c:v>
                </c:pt>
                <c:pt idx="23">
                  <c:v>0.78085126835270746</c:v>
                </c:pt>
                <c:pt idx="24">
                  <c:v>0.82194870352916583</c:v>
                </c:pt>
                <c:pt idx="25">
                  <c:v>0.86520916160964823</c:v>
                </c:pt>
                <c:pt idx="26">
                  <c:v>0.91074648590489282</c:v>
                </c:pt>
                <c:pt idx="27">
                  <c:v>0.95868051147883471</c:v>
                </c:pt>
                <c:pt idx="28">
                  <c:v>1.0091373805040367</c:v>
                </c:pt>
                <c:pt idx="29">
                  <c:v>1.0622498742147755</c:v>
                </c:pt>
                <c:pt idx="30">
                  <c:v>1.1181577623313426</c:v>
                </c:pt>
                <c:pt idx="31">
                  <c:v>1.1770081708750975</c:v>
                </c:pt>
                <c:pt idx="32">
                  <c:v>1.2389559693422081</c:v>
                </c:pt>
                <c:pt idx="33">
                  <c:v>1.3041641782549558</c:v>
                </c:pt>
                <c:pt idx="34">
                  <c:v>1.3728043981631115</c:v>
                </c:pt>
                <c:pt idx="35">
                  <c:v>1.445057261224328</c:v>
                </c:pt>
                <c:pt idx="36">
                  <c:v>1.5211129065519242</c:v>
                </c:pt>
                <c:pt idx="37">
                  <c:v>1.6011714805809729</c:v>
                </c:pt>
                <c:pt idx="38">
                  <c:v>1.6854436637694452</c:v>
                </c:pt>
                <c:pt idx="39">
                  <c:v>1.7741512250204687</c:v>
                </c:pt>
                <c:pt idx="40">
                  <c:v>1.8675276052847043</c:v>
                </c:pt>
                <c:pt idx="41">
                  <c:v>1.9658185318786361</c:v>
                </c:pt>
                <c:pt idx="42">
                  <c:v>2.0692826651354066</c:v>
                </c:pt>
                <c:pt idx="43">
                  <c:v>2.178192279089902</c:v>
                </c:pt>
                <c:pt idx="44">
                  <c:v>2.2928339779893703</c:v>
                </c:pt>
                <c:pt idx="45">
                  <c:v>2.4135094505151269</c:v>
                </c:pt>
                <c:pt idx="46">
                  <c:v>2.5405362637001336</c:v>
                </c:pt>
                <c:pt idx="47">
                  <c:v>2.6742486986317195</c:v>
                </c:pt>
                <c:pt idx="48">
                  <c:v>2.814998630138652</c:v>
                </c:pt>
                <c:pt idx="49">
                  <c:v>2.9631564527775294</c:v>
                </c:pt>
                <c:pt idx="50">
                  <c:v>3.119112055555294</c:v>
                </c:pt>
                <c:pt idx="51">
                  <c:v>3.2832758479529414</c:v>
                </c:pt>
                <c:pt idx="52">
                  <c:v>3.4560798399504646</c:v>
                </c:pt>
                <c:pt idx="53">
                  <c:v>3.6379787788952256</c:v>
                </c:pt>
                <c:pt idx="54">
                  <c:v>3.8294513462055013</c:v>
                </c:pt>
                <c:pt idx="55">
                  <c:v>4.0310014170584232</c:v>
                </c:pt>
                <c:pt idx="56">
                  <c:v>4.2431593863772878</c:v>
                </c:pt>
                <c:pt idx="57">
                  <c:v>4.4664835646076719</c:v>
                </c:pt>
                <c:pt idx="58">
                  <c:v>4.7015616469554447</c:v>
                </c:pt>
                <c:pt idx="59">
                  <c:v>4.9490122599530988</c:v>
                </c:pt>
                <c:pt idx="60">
                  <c:v>5.2094865894243148</c:v>
                </c:pt>
                <c:pt idx="61">
                  <c:v>5.4836700941308578</c:v>
                </c:pt>
                <c:pt idx="62">
                  <c:v>5.7722843096114298</c:v>
                </c:pt>
                <c:pt idx="63">
                  <c:v>6.0760887469593996</c:v>
                </c:pt>
                <c:pt idx="64">
                  <c:v>6.3958828915362096</c:v>
                </c:pt>
                <c:pt idx="65">
                  <c:v>6.7325083068802209</c:v>
                </c:pt>
                <c:pt idx="66">
                  <c:v>7.0868508493476021</c:v>
                </c:pt>
                <c:pt idx="67">
                  <c:v>7.459842999313266</c:v>
                </c:pt>
                <c:pt idx="68">
                  <c:v>7.8524663150665965</c:v>
                </c:pt>
                <c:pt idx="69">
                  <c:v>8.2657540158595761</c:v>
                </c:pt>
                <c:pt idx="70">
                  <c:v>8.700793700904816</c:v>
                </c:pt>
                <c:pt idx="71">
                  <c:v>9.1587302114787548</c:v>
                </c:pt>
                <c:pt idx="72">
                  <c:v>9.6407686436618487</c:v>
                </c:pt>
                <c:pt idx="73">
                  <c:v>10.148177519644053</c:v>
                </c:pt>
                <c:pt idx="74">
                  <c:v>10.682292125941109</c:v>
                </c:pt>
              </c:numCache>
            </c:numRef>
          </c:xVal>
          <c:yVal>
            <c:numRef>
              <c:f>'Liquidity stats'!$M$4:$M$78</c:f>
              <c:numCache>
                <c:formatCode>General</c:formatCode>
                <c:ptCount val="75"/>
                <c:pt idx="0">
                  <c:v>1.4786840613125372E-3</c:v>
                </c:pt>
                <c:pt idx="1">
                  <c:v>1.5170978364800235E-3</c:v>
                </c:pt>
                <c:pt idx="2">
                  <c:v>1.5565095382237203E-3</c:v>
                </c:pt>
                <c:pt idx="3">
                  <c:v>1.5969450910316002E-3</c:v>
                </c:pt>
                <c:pt idx="4">
                  <c:v>1.6384310928670852E-3</c:v>
                </c:pt>
                <c:pt idx="5">
                  <c:v>2.0376416922586061E-3</c:v>
                </c:pt>
                <c:pt idx="6">
                  <c:v>2.2751635475035813E-3</c:v>
                </c:pt>
                <c:pt idx="7">
                  <c:v>2.3342685471919454E-3</c:v>
                </c:pt>
                <c:pt idx="8">
                  <c:v>2.3949089973721908E-3</c:v>
                </c:pt>
                <c:pt idx="9">
                  <c:v>2.4571247865178324E-3</c:v>
                </c:pt>
                <c:pt idx="10">
                  <c:v>2.5209568393391485E-3</c:v>
                </c:pt>
                <c:pt idx="11">
                  <c:v>2.5864471437029826E-3</c:v>
                </c:pt>
                <c:pt idx="12">
                  <c:v>2.6536387782517385E-3</c:v>
                </c:pt>
                <c:pt idx="13">
                  <c:v>2.7264775770808308E-3</c:v>
                </c:pt>
                <c:pt idx="14">
                  <c:v>2.7976376115549954E-3</c:v>
                </c:pt>
                <c:pt idx="15">
                  <c:v>2.8703156264346247E-3</c:v>
                </c:pt>
                <c:pt idx="16">
                  <c:v>2.9448816963736518E-3</c:v>
                </c:pt>
                <c:pt idx="17">
                  <c:v>3.0213848699311937E-3</c:v>
                </c:pt>
                <c:pt idx="18">
                  <c:v>2.902936472057728E-3</c:v>
                </c:pt>
                <c:pt idx="19">
                  <c:v>1.673754777630968E-3</c:v>
                </c:pt>
                <c:pt idx="20">
                  <c:v>1.7172361685484853E-3</c:v>
                </c:pt>
                <c:pt idx="21">
                  <c:v>1.7618471343483902E-3</c:v>
                </c:pt>
                <c:pt idx="22">
                  <c:v>1.8076170195247163E-3</c:v>
                </c:pt>
                <c:pt idx="23">
                  <c:v>1.8545759308930417E-3</c:v>
                </c:pt>
                <c:pt idx="24">
                  <c:v>1.9027547573944421E-3</c:v>
                </c:pt>
                <c:pt idx="25">
                  <c:v>1.9521851904137318E-3</c:v>
                </c:pt>
                <c:pt idx="26">
                  <c:v>1.5560926004386914E-3</c:v>
                </c:pt>
                <c:pt idx="27">
                  <c:v>1.0129772863672485E-3</c:v>
                </c:pt>
                <c:pt idx="28">
                  <c:v>1.0392927669667634E-3</c:v>
                </c:pt>
                <c:pt idx="29">
                  <c:v>1.0662918803865801E-3</c:v>
                </c:pt>
                <c:pt idx="30">
                  <c:v>1.093992386280801E-3</c:v>
                </c:pt>
                <c:pt idx="31">
                  <c:v>1.1224125056700899E-3</c:v>
                </c:pt>
                <c:pt idx="32">
                  <c:v>1.2751768227416815E-3</c:v>
                </c:pt>
                <c:pt idx="33">
                  <c:v>1.3398842149959982E-3</c:v>
                </c:pt>
                <c:pt idx="34">
                  <c:v>1.3746921988864946E-3</c:v>
                </c:pt>
                <c:pt idx="35">
                  <c:v>1.4104044368378882E-3</c:v>
                </c:pt>
                <c:pt idx="36">
                  <c:v>1.4470444198805337E-3</c:v>
                </c:pt>
                <c:pt idx="37">
                  <c:v>1.4846362493030408E-3</c:v>
                </c:pt>
                <c:pt idx="38">
                  <c:v>1.5232046525058118E-3</c:v>
                </c:pt>
                <c:pt idx="39">
                  <c:v>1.5627749992663726E-3</c:v>
                </c:pt>
                <c:pt idx="40">
                  <c:v>1.2603723602939065E-3</c:v>
                </c:pt>
                <c:pt idx="41">
                  <c:v>1.1505579847062911E-3</c:v>
                </c:pt>
                <c:pt idx="42">
                  <c:v>1.1804475851273793E-3</c:v>
                </c:pt>
                <c:pt idx="43">
                  <c:v>1.211113668111882E-3</c:v>
                </c:pt>
                <c:pt idx="44">
                  <c:v>1.2425764053972455E-3</c:v>
                </c:pt>
                <c:pt idx="45">
                  <c:v>1.3934002275413095E-3</c:v>
                </c:pt>
                <c:pt idx="46">
                  <c:v>2.5656746692886614E-3</c:v>
                </c:pt>
                <c:pt idx="47">
                  <c:v>2.6323266691834169E-3</c:v>
                </c:pt>
                <c:pt idx="48">
                  <c:v>2.7007101781985898E-3</c:v>
                </c:pt>
                <c:pt idx="49">
                  <c:v>2.7708701780877983E-3</c:v>
                </c:pt>
                <c:pt idx="50">
                  <c:v>2.8428528191563884E-3</c:v>
                </c:pt>
                <c:pt idx="51">
                  <c:v>2.916705450618748E-3</c:v>
                </c:pt>
                <c:pt idx="52">
                  <c:v>2.9924766517435801E-3</c:v>
                </c:pt>
                <c:pt idx="53">
                  <c:v>3.0702162638091795E-3</c:v>
                </c:pt>
                <c:pt idx="54">
                  <c:v>3.14997542288799E-3</c:v>
                </c:pt>
                <c:pt idx="55">
                  <c:v>3.2318065934833782E-3</c:v>
                </c:pt>
                <c:pt idx="56">
                  <c:v>3.3157636030399867E-3</c:v>
                </c:pt>
                <c:pt idx="57">
                  <c:v>3.4019016773508986E-3</c:v>
                </c:pt>
                <c:pt idx="58">
                  <c:v>3.4902774768841844E-3</c:v>
                </c:pt>
                <c:pt idx="59">
                  <c:v>3.1347009260151702E-3</c:v>
                </c:pt>
                <c:pt idx="60">
                  <c:v>2.8944583803841564E-3</c:v>
                </c:pt>
                <c:pt idx="61">
                  <c:v>2.9696516392855869E-3</c:v>
                </c:pt>
                <c:pt idx="62">
                  <c:v>3.0467982951412034E-3</c:v>
                </c:pt>
                <c:pt idx="63">
                  <c:v>3.1259490939848137E-3</c:v>
                </c:pt>
                <c:pt idx="64">
                  <c:v>3.2071561001486568E-3</c:v>
                </c:pt>
                <c:pt idx="65">
                  <c:v>3.2904727305103376E-3</c:v>
                </c:pt>
                <c:pt idx="66">
                  <c:v>3.3759537896301353E-3</c:v>
                </c:pt>
                <c:pt idx="67">
                  <c:v>3.4636555058003703E-3</c:v>
                </c:pt>
                <c:pt idx="68">
                  <c:v>3.5536355680317365E-3</c:v>
                </c:pt>
                <c:pt idx="69">
                  <c:v>3.645953164000377E-3</c:v>
                </c:pt>
                <c:pt idx="70">
                  <c:v>3.740669018980779E-3</c:v>
                </c:pt>
                <c:pt idx="71">
                  <c:v>3.8378454357898672E-3</c:v>
                </c:pt>
                <c:pt idx="72">
                  <c:v>3.9375463357692328E-3</c:v>
                </c:pt>
                <c:pt idx="73">
                  <c:v>4.4893790816121232E-3</c:v>
                </c:pt>
                <c:pt idx="74">
                  <c:v>2.5220266705670603E-3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02D-4164-ACD9-70F5B2974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1786848"/>
        <c:axId val="871790088"/>
      </c:scatterChart>
      <c:valAx>
        <c:axId val="871786848"/>
        <c:scaling>
          <c:orientation val="minMax"/>
          <c:max val="1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CH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71790088"/>
        <c:crosses val="autoZero"/>
        <c:crossBetween val="midCat"/>
        <c:majorUnit val="1"/>
      </c:valAx>
      <c:valAx>
        <c:axId val="871790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CH"/>
                  <a:t>Price variation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71786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3</xdr:row>
      <xdr:rowOff>0</xdr:rowOff>
    </xdr:from>
    <xdr:to>
      <xdr:col>22</xdr:col>
      <xdr:colOff>1</xdr:colOff>
      <xdr:row>19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63399C1-1D20-4EBF-BD91-B278E409AF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20</xdr:row>
      <xdr:rowOff>0</xdr:rowOff>
    </xdr:from>
    <xdr:to>
      <xdr:col>22</xdr:col>
      <xdr:colOff>0</xdr:colOff>
      <xdr:row>35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3381FC8-46A6-4D23-8FC7-F67B4D5BBD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E2BCA90-7149-48F7-9245-ACCABFF0B48D}" autoFormatId="16" applyNumberFormats="0" applyBorderFormats="0" applyFontFormats="0" applyPatternFormats="0" applyAlignmentFormats="0" applyWidthHeightFormats="0">
  <queryTableRefresh nextId="7">
    <queryTableFields count="5">
      <queryTableField id="1" name="t-" tableColumnId="1"/>
      <queryTableField id="2" name="t+" tableColumnId="2"/>
      <queryTableField id="3" name="Liquidity" tableColumnId="3"/>
      <queryTableField id="5" name="Pb" tableColumnId="5"/>
      <queryTableField id="4" name="Pa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086C2C8-FAEC-4E02-B064-94BD7AC424F5}" name="positions" displayName="positions" ref="B3:F15" tableType="queryTable" totalsRowShown="0">
  <autoFilter ref="B3:F15" xr:uid="{4086C2C8-FAEC-4E02-B064-94BD7AC424F5}"/>
  <sortState xmlns:xlrd2="http://schemas.microsoft.com/office/spreadsheetml/2017/richdata2" ref="B4:F15">
    <sortCondition ref="B3:B15"/>
  </sortState>
  <tableColumns count="5">
    <tableColumn id="1" xr3:uid="{E81F9087-3BBF-4794-B322-732EE0FB8644}" uniqueName="1" name="t-" queryTableFieldId="1" dataDxfId="0"/>
    <tableColumn id="2" xr3:uid="{2772B745-97EE-4A5A-BC11-479C855F0B18}" uniqueName="2" name="t+" queryTableFieldId="2"/>
    <tableColumn id="3" xr3:uid="{08D3F0EA-44C3-4FD7-8DFE-1CADF60274C3}" uniqueName="3" name="Liquidity" queryTableFieldId="3"/>
    <tableColumn id="5" xr3:uid="{38CF89D6-CE82-4A8D-AE0D-FDE9ECA84B6D}" uniqueName="5" name="Pb" queryTableFieldId="5"/>
    <tableColumn id="4" xr3:uid="{FF28ACBF-5D13-413C-A3A1-2C4021A2E969}" uniqueName="4" name="Pa" queryTableFieldId="4"/>
  </tableColumns>
  <tableStyleInfo name="TableStyleMedium6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ABE0811A-F7AB-4A38-B880-34BED0E43D92}">
  <we:reference id="wa104379220" version="8.0.0.0" store="en-US" storeType="OMEX"/>
  <we:alternateReferences>
    <we:reference id="WA104379220" version="8.0.0.0" store="WA104379220" storeType="OMEX"/>
  </we:alternateReferences>
  <we:properties>
    <we:property name="Office.AutoShowTaskpaneWithDocument" value="true"/>
    <we:property name="stocksChange" value="{}"/>
    <we:property name="stocks" value="{&quot;BTC____USD&quot;:[&quot;BTC____USD&quot;,41809.5072139675,-0.024036091241853953,1705275545000]}"/>
    <we:property name="stocksOrder" value="[&quot;BTC____USD&quot;]"/>
    <we:property name="updateIntervalIndex" value="2"/>
    <we:property name="stocksSources" value="{&quot;BTC____USD&quot;:0}"/>
    <we:property name="lastCryptoCompare" value="1705275554309"/>
    <we:property name="lastIexCall" value="0"/>
  </we:properties>
  <we:bindings>
    <we:binding id="BTC____USD" type="text" appref="{E3772931-40A1-48CB-9F89-0EF1257D9520}"/>
  </we:bindings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A01643CE-87E1-4BD9-B1A2-904AAFABF462}">
  <we:reference id="wa104381695" version="1.0.10.0" store="en-US" storeType="OMEX"/>
  <we:alternateReferences>
    <we:reference id="wa104381695" version="1.0.10.0" store="WA10438169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_xldudf_CS_TIME</we:customFunctionIds>
        <we:customFunctionIds>_xldudf_CS_ATH</we:customFunctionIds>
        <we:customFunctionIds>_xldudf_CS_ENDPOINTS</we:customFunctionIds>
        <we:customFunctionIds>_xldudf_CS_EXCHANGES</we:customFunctionIds>
        <we:customFunctionIds>_xldudf_CS_EXRATE</we:customFunctionIds>
        <we:customFunctionIds>_xldudf_CS_OHLCV</we:customFunctionIds>
        <we:customFunctionIds>_xldudf_CS_ORDERBOOKS</we:customFunctionIds>
        <we:customFunctionIds>_xldudf_CS_PARAMETERS</we:customFunctionIds>
        <we:customFunctionIds>_xldudf_CS_PRICE</we:customFunctionIds>
        <we:customFunctionIds>_xldudf_CS_PRICEA</we:customFunctionIds>
        <we:customFunctionIds>_xldudf_CS_PROVIDERS</we:customFunctionIds>
        <we:customFunctionIds>_xldudf_CS_QUERY</we:customFunctionIds>
        <we:customFunctionIds>_xldudf_CS_QUERYA</we:customFunctionIds>
        <we:customFunctionIds>_xldudf_CS_SYMBOLS</we:customFunctionIds>
        <we:customFunctionIds>_xldudf_CS_TA</we:customFunctionIds>
        <we:customFunctionIds>_xldudf_CS_TAHIS</we:customFunctionIds>
        <we:customFunctionIds>_xldudf_CS_TRADES</we:customFunctionIds>
        <we:customFunctionIds>_xldudf_CS_ORDERBOOKSL3A</we:customFunctionIds>
        <we:customFunctionIds>_xldudf_CS_OHLCVA</we:customFunctionIds>
        <we:customFunctionIds>_xldudf_CS_ADDRESS</we:customFunctionIds>
        <we:customFunctionIds>_xldudf_CS_CHAIN</we:customFunctionIds>
        <we:customFunctionIds>_xldudf_CS_CLUSTERS</we:customFunctionIds>
        <we:customFunctionIds>_xldudf_CS_IDEAS</we:customFunctionIds>
        <we:customFunctionIds>_xldudf_CS_METRICS</we:customFunctionIds>
        <we:customFunctionIds>_xldudf_CS_AD</we:customFunctionIds>
        <we:customFunctionIds>_xldudf_CS_ADOSC</we:customFunctionIds>
        <we:customFunctionIds>_xldudf_CS_ADX</we:customFunctionIds>
        <we:customFunctionIds>_xldudf_CS_APO</we:customFunctionIds>
        <we:customFunctionIds>_xldudf_CS_AROON</we:customFunctionIds>
        <we:customFunctionIds>_xldudf_CS_AROONOSC</we:customFunctionIds>
        <we:customFunctionIds>_xldudf_CS_ATR</we:customFunctionIds>
        <we:customFunctionIds>_xldudf_CS_BBANDS</we:customFunctionIds>
        <we:customFunctionIds>_xldudf_CS_BETA</we:customFunctionIds>
        <we:customFunctionIds>_xldudf_CS_CCI</we:customFunctionIds>
        <we:customFunctionIds>_xldudf_CS_CDLINNECK</we:customFunctionIds>
        <we:customFunctionIds>_xldudf_CS_CDLMARUBOZU</we:customFunctionIds>
        <we:customFunctionIds>_xldudf_CS_CORREL</we:customFunctionIds>
        <we:customFunctionIds>_xldudf_CS_DEMA</we:customFunctionIds>
        <we:customFunctionIds>_xldudf_CS_DX</we:customFunctionIds>
        <we:customFunctionIds>_xldudf_CS_EMA</we:customFunctionIds>
        <we:customFunctionIds>_xldudf_CS_LINEARREG</we:customFunctionIds>
        <we:customFunctionIds>_xldudf_CS_LINEARREGANGLE</we:customFunctionIds>
        <we:customFunctionIds>_xldudf_CS_LINEARREGINTERCEPT</we:customFunctionIds>
        <we:customFunctionIds>_xldudf_CS_LINEARREGSLOPE</we:customFunctionIds>
        <we:customFunctionIds>_xldudf_CS_MACD</we:customFunctionIds>
        <we:customFunctionIds>_xldudf_CS_MACDEXT</we:customFunctionIds>
        <we:customFunctionIds>_xldudf_CS_MACDFIX</we:customFunctionIds>
        <we:customFunctionIds>_xldudf_CS_MFI</we:customFunctionIds>
        <we:customFunctionIds>_xldudf_CS_MOM</we:customFunctionIds>
        <we:customFunctionIds>_xldudf_CS_NATR</we:customFunctionIds>
        <we:customFunctionIds>_xldudf_CS_OBV</we:customFunctionIds>
        <we:customFunctionIds>_xldudf_CS_ROC</we:customFunctionIds>
        <we:customFunctionIds>_xldudf_CS_ROCP</we:customFunctionIds>
        <we:customFunctionIds>_xldudf_CS_ROCR</we:customFunctionIds>
        <we:customFunctionIds>_xldudf_CS_RSI</we:customFunctionIds>
        <we:customFunctionIds>_xldudf_CS_SAREXT</we:customFunctionIds>
        <we:customFunctionIds>_xldudf_CS_SMA</we:customFunctionIds>
        <we:customFunctionIds>_xldudf_CS_STDDEV</we:customFunctionIds>
        <we:customFunctionIds>_xldudf_CS_STOCH</we:customFunctionIds>
        <we:customFunctionIds>_xldudf_CS_T3</we:customFunctionIds>
        <we:customFunctionIds>_xldudf_CS_TEMA</we:customFunctionIds>
        <we:customFunctionIds>_xldudf_CS_TRANGE</we:customFunctionIds>
        <we:customFunctionIds>_xldudf_CS_TRIX</we:customFunctionIds>
        <we:customFunctionIds>_xldudf_CS_TSF</we:customFunctionIds>
        <we:customFunctionIds>_xldudf_CS_ULTOSC</we:customFunctionIds>
        <we:customFunctionIds>_xldudf_CS_VARI</we:customFunctionIds>
        <we:customFunctionIds>_xldudf_CS_WCLPRICE</we:customFunctionIds>
        <we:customFunctionIds>_xldudf_CS_WILLR</we:customFunctionIds>
        <we:customFunctionIds>_xldudf_CS_WMA</we:customFunctionIds>
        <we:customFunctionIds>_xldudf_CS_STATUS</we:customFunctionIds>
        <we:customFunctionIds>_xldudf_CS_LOGIN</we:customFunctionIds>
        <we:customFunctionIds>_xldudf_CS_TAMETADATA</we:customFunctionIds>
        <we:customFunctionIds>_xldudf_CS_FLOOR</we:customFunctionIds>
        <we:customFunctionIds>_xldudf_CS_LN</we:customFunctionIds>
        <we:customFunctionIds>_xldudf_CS_EXP</we:customFunctionIds>
        <we:customFunctionIds>_xldudf_CS_FIELDS</we:customFunctionIds>
        <we:customFunctionIds>_xldudf_CS_TRADESA</we:customFunctionIds>
        <we:customFunctionIds>_xldudf_CS_ORDERBOOKSA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9FA48-C949-4C3B-9268-E97A5031DD96}">
  <sheetPr codeName="Sheet7"/>
  <dimension ref="A1:R78"/>
  <sheetViews>
    <sheetView tabSelected="1" workbookViewId="0">
      <selection activeCell="G8" sqref="G8"/>
    </sheetView>
  </sheetViews>
  <sheetFormatPr defaultRowHeight="15" x14ac:dyDescent="0.25"/>
  <cols>
    <col min="2" max="3" width="7.7109375" bestFit="1" customWidth="1"/>
    <col min="4" max="4" width="12" bestFit="1" customWidth="1"/>
    <col min="5" max="5" width="12" customWidth="1"/>
    <col min="6" max="6" width="12" bestFit="1" customWidth="1"/>
    <col min="11" max="11" width="12.7109375" bestFit="1" customWidth="1"/>
    <col min="12" max="12" width="10.7109375" customWidth="1"/>
    <col min="13" max="13" width="11" bestFit="1" customWidth="1"/>
  </cols>
  <sheetData>
    <row r="1" spans="1:13" x14ac:dyDescent="0.25">
      <c r="E1" t="s">
        <v>4</v>
      </c>
      <c r="F1">
        <v>2400</v>
      </c>
    </row>
    <row r="2" spans="1:13" x14ac:dyDescent="0.25">
      <c r="B2" t="s">
        <v>13</v>
      </c>
      <c r="E2" t="s">
        <v>6</v>
      </c>
    </row>
    <row r="3" spans="1:13" x14ac:dyDescent="0.25">
      <c r="B3" t="s">
        <v>2</v>
      </c>
      <c r="C3" t="s">
        <v>3</v>
      </c>
      <c r="D3" t="s">
        <v>8</v>
      </c>
      <c r="E3" t="s">
        <v>15</v>
      </c>
      <c r="F3" t="s">
        <v>14</v>
      </c>
      <c r="H3" t="s">
        <v>6</v>
      </c>
      <c r="I3" t="s">
        <v>1</v>
      </c>
      <c r="J3" t="s">
        <v>7</v>
      </c>
      <c r="K3" t="s">
        <v>10</v>
      </c>
      <c r="L3" t="s">
        <v>16</v>
      </c>
      <c r="M3" t="s">
        <v>0</v>
      </c>
    </row>
    <row r="4" spans="1:13" x14ac:dyDescent="0.25">
      <c r="B4" s="1">
        <v>-887200</v>
      </c>
      <c r="C4">
        <v>887200</v>
      </c>
      <c r="D4">
        <v>231.26159999999999</v>
      </c>
      <c r="E4">
        <v>3.3781585790898981E+38</v>
      </c>
      <c r="F4">
        <v>2.960192591874736E-39</v>
      </c>
      <c r="H4">
        <v>10000</v>
      </c>
      <c r="I4">
        <f t="shared" ref="I4:I35" si="0">1/(H4/$F$1)</f>
        <v>0.24</v>
      </c>
      <c r="J4">
        <f>SUMIFS(positions[Liquidity],positions[Pb],"&gt;=" &amp;H4,positions[Pa],"&lt;" &amp;H4)</f>
        <v>32882.940799999997</v>
      </c>
      <c r="K4">
        <f>xAmount(SQRT(H4),positions[Pa],positions[Pb],positions[Liquidity])</f>
        <v>201.53178044325605</v>
      </c>
      <c r="L4">
        <f>yAmount(SQRT(H4),positions[Pa],positions[Pb],positions[Liquidity])</f>
        <v>4573111.1070728572</v>
      </c>
      <c r="M4">
        <f>-(I5-I4)/(K4-K5)</f>
        <v>1.4786840613125372E-3</v>
      </c>
    </row>
    <row r="5" spans="1:13" x14ac:dyDescent="0.25">
      <c r="B5" s="1">
        <v>-110200</v>
      </c>
      <c r="C5">
        <v>-103200</v>
      </c>
      <c r="D5">
        <v>10849.319</v>
      </c>
      <c r="E5">
        <v>61050.034016676203</v>
      </c>
      <c r="F5">
        <v>30317.610715715931</v>
      </c>
      <c r="H5">
        <f>0.95*H4</f>
        <v>9500</v>
      </c>
      <c r="I5">
        <f t="shared" si="0"/>
        <v>0.25263157894736843</v>
      </c>
      <c r="J5">
        <f>SUMIFS(positions[Liquidity],positions[Pb],"&gt;=" &amp;H5,positions[Pa],"&lt;" &amp;H5)</f>
        <v>32882.940799999997</v>
      </c>
      <c r="K5">
        <f>xAmount(SQRT(H5),positions[Pa],positions[Pb],positions[Liquidity])</f>
        <v>210.07422658023285</v>
      </c>
      <c r="L5">
        <f>yAmount(SQRT(H5),positions[Pa],positions[Pb],positions[Liquidity])</f>
        <v>4489849.6413741373</v>
      </c>
      <c r="M5">
        <f t="shared" ref="M5:M68" si="1">-(I6-I5)/(K5-K6)</f>
        <v>1.5170978364800235E-3</v>
      </c>
    </row>
    <row r="6" spans="1:13" x14ac:dyDescent="0.25">
      <c r="A6" t="s">
        <v>5</v>
      </c>
      <c r="B6" s="1">
        <v>-103200</v>
      </c>
      <c r="C6">
        <v>-96400</v>
      </c>
      <c r="D6">
        <v>50637.479099999997</v>
      </c>
      <c r="E6">
        <v>30317.610715715931</v>
      </c>
      <c r="F6">
        <v>15359.938950739355</v>
      </c>
      <c r="H6">
        <f t="shared" ref="H6:H13" si="2">0.95*H5</f>
        <v>9025</v>
      </c>
      <c r="I6">
        <f t="shared" si="0"/>
        <v>0.26592797783933519</v>
      </c>
      <c r="J6">
        <f>SUMIFS(positions[Liquidity],positions[Pb],"&gt;=" &amp;H6,positions[Pa],"&lt;" &amp;H6)</f>
        <v>32882.940799999997</v>
      </c>
      <c r="K6">
        <f>xAmount(SQRT(H6),positions[Pa],positions[Pb],positions[Liquidity])</f>
        <v>218.83859139062446</v>
      </c>
      <c r="L6">
        <f>yAmount(SQRT(H6),positions[Pa],positions[Pb],positions[Liquidity])</f>
        <v>4408696.4030728573</v>
      </c>
      <c r="M6">
        <f t="shared" si="1"/>
        <v>1.5565095382237203E-3</v>
      </c>
    </row>
    <row r="7" spans="1:13" x14ac:dyDescent="0.25">
      <c r="B7" s="1">
        <v>-96400</v>
      </c>
      <c r="C7">
        <v>-89400</v>
      </c>
      <c r="D7">
        <v>32651.679199999999</v>
      </c>
      <c r="E7">
        <v>15359.938950739355</v>
      </c>
      <c r="F7">
        <v>7627.786900142848</v>
      </c>
      <c r="H7">
        <f t="shared" si="2"/>
        <v>8573.75</v>
      </c>
      <c r="I7">
        <f t="shared" si="0"/>
        <v>0.27992418719930018</v>
      </c>
      <c r="J7">
        <f>SUMIFS(positions[Liquidity],positions[Pb],"&gt;=" &amp;H7,positions[Pa],"&lt;" &amp;H7)</f>
        <v>32882.940799999997</v>
      </c>
      <c r="K7">
        <f>xAmount(SQRT(H7),positions[Pa],positions[Pb],positions[Liquidity])</f>
        <v>227.83063995586318</v>
      </c>
      <c r="L7">
        <f>yAmount(SQRT(H7),positions[Pa],positions[Pb],positions[Liquidity])</f>
        <v>4329598.0106590735</v>
      </c>
      <c r="M7">
        <f t="shared" si="1"/>
        <v>1.5969450910316002E-3</v>
      </c>
    </row>
    <row r="8" spans="1:13" x14ac:dyDescent="0.25">
      <c r="B8" s="1">
        <v>-89400</v>
      </c>
      <c r="C8">
        <v>-85400</v>
      </c>
      <c r="D8">
        <v>24695.313200000001</v>
      </c>
      <c r="E8">
        <v>7627.786900142848</v>
      </c>
      <c r="F8">
        <v>5113.160721428364</v>
      </c>
      <c r="H8">
        <f t="shared" si="2"/>
        <v>8145.0625</v>
      </c>
      <c r="I8">
        <f t="shared" si="0"/>
        <v>0.29465703915715813</v>
      </c>
      <c r="J8">
        <f>SUMIFS(positions[Liquidity],positions[Pb],"&gt;=" &amp;H8,positions[Pa],"&lt;" &amp;H8)</f>
        <v>32882.940799999997</v>
      </c>
      <c r="K8">
        <f>xAmount(SQRT(H8),positions[Pa],positions[Pb],positions[Liquidity])</f>
        <v>237.0562871246965</v>
      </c>
      <c r="L8">
        <f>yAmount(SQRT(H8),positions[Pa],positions[Pb],positions[Liquidity])</f>
        <v>4252502.4342728574</v>
      </c>
      <c r="M8">
        <f t="shared" si="1"/>
        <v>1.6384310928670852E-3</v>
      </c>
    </row>
    <row r="9" spans="1:13" x14ac:dyDescent="0.25">
      <c r="B9" s="1">
        <v>-85400</v>
      </c>
      <c r="C9">
        <v>-82400</v>
      </c>
      <c r="D9">
        <v>24656.701099999998</v>
      </c>
      <c r="E9">
        <v>5113.160721428364</v>
      </c>
      <c r="F9">
        <v>3787.9794431858841</v>
      </c>
      <c r="H9">
        <f t="shared" si="2"/>
        <v>7737.8093749999998</v>
      </c>
      <c r="I9">
        <f t="shared" si="0"/>
        <v>0.31016530437595591</v>
      </c>
      <c r="J9">
        <f>SUMIFS(positions[Liquidity],positions[Pb],"&gt;=" &amp;H9,positions[Pa],"&lt;" &amp;H9)</f>
        <v>32882.940799999997</v>
      </c>
      <c r="K9">
        <f>xAmount(SQRT(H9),positions[Pa],positions[Pb],positions[Liquidity])</f>
        <v>246.52160140389509</v>
      </c>
      <c r="L9">
        <f>yAmount(SQRT(H9),positions[Pa],positions[Pb],positions[Liquidity])</f>
        <v>4177358.9614797621</v>
      </c>
      <c r="M9">
        <f t="shared" si="1"/>
        <v>2.0376416922586061E-3</v>
      </c>
    </row>
    <row r="10" spans="1:13" x14ac:dyDescent="0.25">
      <c r="B10" s="1">
        <v>-82400</v>
      </c>
      <c r="C10">
        <v>-78400</v>
      </c>
      <c r="D10">
        <v>47059.897900000004</v>
      </c>
      <c r="E10">
        <v>3787.9794431858841</v>
      </c>
      <c r="F10">
        <v>2539.2093350318196</v>
      </c>
      <c r="H10">
        <f t="shared" si="2"/>
        <v>7350.9189062499991</v>
      </c>
      <c r="I10">
        <f t="shared" si="0"/>
        <v>0.3264897940799536</v>
      </c>
      <c r="J10">
        <f>SUMIFS(positions[Liquidity],positions[Pb],"&gt;=" &amp;H10,positions[Pa],"&lt;" &amp;H10)</f>
        <v>24926.574800000002</v>
      </c>
      <c r="K10">
        <f>xAmount(SQRT(H10),positions[Pa],positions[Pb],positions[Liquidity])</f>
        <v>254.53306375569991</v>
      </c>
      <c r="L10">
        <f>yAmount(SQRT(H10),positions[Pa],positions[Pb],positions[Liquidity])</f>
        <v>4116845.9806545316</v>
      </c>
      <c r="M10">
        <f t="shared" si="1"/>
        <v>2.2751635475035813E-3</v>
      </c>
    </row>
    <row r="11" spans="1:13" x14ac:dyDescent="0.25">
      <c r="B11" s="1">
        <v>-78400</v>
      </c>
      <c r="C11">
        <v>-75600</v>
      </c>
      <c r="D11">
        <v>95703.867299999998</v>
      </c>
      <c r="E11">
        <v>2539.2093350318196</v>
      </c>
      <c r="F11">
        <v>1919.1199972704339</v>
      </c>
      <c r="H11">
        <f t="shared" si="2"/>
        <v>6983.3729609374986</v>
      </c>
      <c r="I11">
        <f t="shared" si="0"/>
        <v>0.34367346745258276</v>
      </c>
      <c r="J11">
        <f>SUMIFS(positions[Liquidity],positions[Pb],"&gt;=" &amp;H11,positions[Pa],"&lt;" &amp;H11)</f>
        <v>24926.574800000002</v>
      </c>
      <c r="K11">
        <f>xAmount(SQRT(H11),positions[Pa],positions[Pb],positions[Liquidity])</f>
        <v>262.08578381904829</v>
      </c>
      <c r="L11">
        <f>yAmount(SQRT(H11),positions[Pa],positions[Pb],positions[Liquidity])</f>
        <v>4062732.3313806988</v>
      </c>
      <c r="M11">
        <f t="shared" si="1"/>
        <v>2.3342685471919454E-3</v>
      </c>
    </row>
    <row r="12" spans="1:13" x14ac:dyDescent="0.25">
      <c r="B12" s="1">
        <v>-75600</v>
      </c>
      <c r="C12">
        <v>-71400</v>
      </c>
      <c r="D12">
        <v>84362.684500000003</v>
      </c>
      <c r="E12">
        <v>1919.1199972704339</v>
      </c>
      <c r="F12">
        <v>1260.9781695482479</v>
      </c>
      <c r="H12">
        <f t="shared" si="2"/>
        <v>6634.2043128906234</v>
      </c>
      <c r="I12">
        <f t="shared" si="0"/>
        <v>0.36176154468692928</v>
      </c>
      <c r="J12">
        <f>SUMIFS(positions[Liquidity],positions[Pb],"&gt;=" &amp;H12,positions[Pa],"&lt;" &amp;H12)</f>
        <v>24926.574800000002</v>
      </c>
      <c r="K12">
        <f>xAmount(SQRT(H12),positions[Pa],positions[Pb],positions[Liquidity])</f>
        <v>269.83471110340292</v>
      </c>
      <c r="L12">
        <f>yAmount(SQRT(H12),positions[Pa],positions[Pb],positions[Liquidity])</f>
        <v>4009988.8703087815</v>
      </c>
      <c r="M12">
        <f t="shared" si="1"/>
        <v>2.3949089973721908E-3</v>
      </c>
    </row>
    <row r="13" spans="1:13" x14ac:dyDescent="0.25">
      <c r="B13" s="1">
        <v>-71400</v>
      </c>
      <c r="C13">
        <v>-68600</v>
      </c>
      <c r="D13">
        <v>120718.1119</v>
      </c>
      <c r="E13">
        <v>1260.9781695482479</v>
      </c>
      <c r="F13">
        <v>953.04014045426652</v>
      </c>
      <c r="H13">
        <f t="shared" si="2"/>
        <v>6302.4940972460918</v>
      </c>
      <c r="I13">
        <f t="shared" si="0"/>
        <v>0.38080162598624134</v>
      </c>
      <c r="J13">
        <f>SUMIFS(positions[Liquidity],positions[Pb],"&gt;=" &amp;H13,positions[Pa],"&lt;" &amp;H13)</f>
        <v>24926.574800000002</v>
      </c>
      <c r="K13">
        <f>xAmount(SQRT(H13),positions[Pa],positions[Pb],positions[Liquidity])</f>
        <v>277.78494274903278</v>
      </c>
      <c r="L13">
        <f>yAmount(SQRT(H13),positions[Pa],positions[Pb],positions[Liquidity])</f>
        <v>3958580.9034986403</v>
      </c>
      <c r="M13">
        <f t="shared" si="1"/>
        <v>2.4571247865178324E-3</v>
      </c>
    </row>
    <row r="14" spans="1:13" x14ac:dyDescent="0.25">
      <c r="B14" s="1">
        <v>-68600</v>
      </c>
      <c r="C14">
        <v>-61600</v>
      </c>
      <c r="D14">
        <v>61428.456400000003</v>
      </c>
      <c r="E14">
        <v>953.04014045426652</v>
      </c>
      <c r="F14">
        <v>473.28229115893913</v>
      </c>
      <c r="H14">
        <f>0.95*H13</f>
        <v>5987.3693923837873</v>
      </c>
      <c r="I14">
        <f t="shared" si="0"/>
        <v>0.40084381682762243</v>
      </c>
      <c r="J14">
        <f>SUMIFS(positions[Liquidity],positions[Pb],"&gt;=" &amp;H14,positions[Pa],"&lt;" &amp;H14)</f>
        <v>24926.574800000002</v>
      </c>
      <c r="K14">
        <f>xAmount(SQRT(H14),positions[Pa],positions[Pb],positions[Liquidity])</f>
        <v>285.94170831151132</v>
      </c>
      <c r="L14">
        <f>yAmount(SQRT(H14),positions[Pa],positions[Pb],positions[Liquidity])</f>
        <v>3908474.6154803191</v>
      </c>
      <c r="M14">
        <f t="shared" si="1"/>
        <v>2.5209568393391485E-3</v>
      </c>
    </row>
    <row r="15" spans="1:13" x14ac:dyDescent="0.25">
      <c r="B15" s="1">
        <v>-61600</v>
      </c>
      <c r="C15">
        <v>-54200</v>
      </c>
      <c r="D15">
        <v>78034.276299999998</v>
      </c>
      <c r="E15">
        <v>473.28229115893913</v>
      </c>
      <c r="F15">
        <v>225.81792163315475</v>
      </c>
      <c r="H15">
        <f t="shared" ref="H15:H16" si="3">0.95*H14</f>
        <v>5688.0009227645978</v>
      </c>
      <c r="I15">
        <f t="shared" si="0"/>
        <v>0.42194085981854995</v>
      </c>
      <c r="J15">
        <f>SUMIFS(positions[Liquidity],positions[Pb],"&gt;=" &amp;H15,positions[Pa],"&lt;" &amp;H15)</f>
        <v>24926.574800000002</v>
      </c>
      <c r="K15">
        <f>xAmount(SQRT(H15),positions[Pa],positions[Pb],positions[Liquidity])</f>
        <v>294.31037320164802</v>
      </c>
      <c r="L15">
        <f>yAmount(SQRT(H15),positions[Pa],positions[Pb],positions[Liquidity])</f>
        <v>3859637.0470106849</v>
      </c>
      <c r="M15">
        <f t="shared" si="1"/>
        <v>2.5864471437029826E-3</v>
      </c>
    </row>
    <row r="16" spans="1:13" x14ac:dyDescent="0.25">
      <c r="H16">
        <f t="shared" si="3"/>
        <v>5403.6008766263676</v>
      </c>
      <c r="I16">
        <f t="shared" si="0"/>
        <v>0.44414827349321051</v>
      </c>
      <c r="J16">
        <f>SUMIFS(positions[Liquidity],positions[Pb],"&gt;=" &amp;H16,positions[Pa],"&lt;" &amp;H16)</f>
        <v>24926.574800000002</v>
      </c>
      <c r="K16">
        <f>xAmount(SQRT(H16),positions[Pa],positions[Pb],positions[Liquidity])</f>
        <v>302.89644221478335</v>
      </c>
      <c r="L16">
        <f>yAmount(SQRT(H16),positions[Pa],positions[Pb],positions[Liquidity])</f>
        <v>3812036.0733932797</v>
      </c>
      <c r="M16">
        <f>-(I17-I16)/(K16-K17)</f>
        <v>2.6536387782517385E-3</v>
      </c>
    </row>
    <row r="17" spans="8:13" x14ac:dyDescent="0.25">
      <c r="H17">
        <f>0.95*H16</f>
        <v>5133.4208327950491</v>
      </c>
      <c r="I17">
        <f t="shared" si="0"/>
        <v>0.46752449841390586</v>
      </c>
      <c r="J17">
        <f>SUMIFS(positions[Liquidity],positions[Pb],"&gt;=" &amp;H17,positions[Pa],"&lt;" &amp;H17)</f>
        <v>24926.574800000002</v>
      </c>
      <c r="K17">
        <f>xAmount(SQRT(H17),positions[Pa],positions[Pb],positions[Liquidity])</f>
        <v>311.70556315176935</v>
      </c>
      <c r="L17">
        <f>yAmount(SQRT(H17),positions[Pa],positions[Pb],positions[Liquidity])</f>
        <v>3765640.3833471271</v>
      </c>
      <c r="M17">
        <f t="shared" si="1"/>
        <v>2.7264775770808308E-3</v>
      </c>
    </row>
    <row r="18" spans="8:13" x14ac:dyDescent="0.25">
      <c r="H18">
        <f>0.95*H17</f>
        <v>4876.7497911552964</v>
      </c>
      <c r="I18">
        <f t="shared" si="0"/>
        <v>0.4921310509620061</v>
      </c>
      <c r="J18">
        <f>SUMIFS(positions[Liquidity],positions[Pb],"&gt;=" &amp;H18,positions[Pa],"&lt;" &amp;H18)</f>
        <v>24887.9627</v>
      </c>
      <c r="K18">
        <f>xAmount(SQRT(H18),positions[Pa],positions[Pb],positions[Liquidity])</f>
        <v>320.73059704713182</v>
      </c>
      <c r="L18">
        <f>yAmount(SQRT(H18),positions[Pa],positions[Pb],positions[Liquidity])</f>
        <v>3720484.0425067511</v>
      </c>
      <c r="M18">
        <f t="shared" si="1"/>
        <v>2.7976376115549954E-3</v>
      </c>
    </row>
    <row r="19" spans="8:13" x14ac:dyDescent="0.25">
      <c r="H19">
        <f t="shared" ref="H19:H26" si="4">0.95*H18</f>
        <v>4632.912301597531</v>
      </c>
      <c r="I19">
        <f t="shared" si="0"/>
        <v>0.51803268522316448</v>
      </c>
      <c r="J19">
        <f>SUMIFS(positions[Liquidity],positions[Pb],"&gt;=" &amp;H19,positions[Pa],"&lt;" &amp;H19)</f>
        <v>24887.9627</v>
      </c>
      <c r="K19">
        <f>xAmount(SQRT(H19),positions[Pa],positions[Pb],positions[Liquidity])</f>
        <v>329.98899211380439</v>
      </c>
      <c r="L19">
        <f>yAmount(SQRT(H19),positions[Pa],positions[Pb],positions[Liquidity])</f>
        <v>3676476.4120181873</v>
      </c>
      <c r="M19">
        <f t="shared" si="1"/>
        <v>2.8703156264346247E-3</v>
      </c>
    </row>
    <row r="20" spans="8:13" x14ac:dyDescent="0.25">
      <c r="H20">
        <f t="shared" si="4"/>
        <v>4401.2666865176543</v>
      </c>
      <c r="I20">
        <f t="shared" si="0"/>
        <v>0.54529756339280466</v>
      </c>
      <c r="J20">
        <f>SUMIFS(positions[Liquidity],positions[Pb],"&gt;=" &amp;H20,positions[Pa],"&lt;" &amp;H20)</f>
        <v>24887.9627</v>
      </c>
      <c r="K20">
        <f>xAmount(SQRT(H20),positions[Pa],positions[Pb],positions[Liquidity])</f>
        <v>339.4879050272624</v>
      </c>
      <c r="L20">
        <f>yAmount(SQRT(H20),positions[Pa],positions[Pb],positions[Liquidity])</f>
        <v>3633583.0796207502</v>
      </c>
      <c r="M20">
        <f t="shared" si="1"/>
        <v>2.9448816963736518E-3</v>
      </c>
    </row>
    <row r="21" spans="8:13" x14ac:dyDescent="0.25">
      <c r="H21">
        <f t="shared" si="4"/>
        <v>4181.203352191771</v>
      </c>
      <c r="I21">
        <f t="shared" si="0"/>
        <v>0.57399743515032076</v>
      </c>
      <c r="J21">
        <f>SUMIFS(positions[Liquidity],positions[Pb],"&gt;=" &amp;H21,positions[Pa],"&lt;" &amp;H21)</f>
        <v>24887.9627</v>
      </c>
      <c r="K21">
        <f>xAmount(SQRT(H21),positions[Pa],positions[Pb],positions[Liquidity])</f>
        <v>349.23358404481252</v>
      </c>
      <c r="L21">
        <f>yAmount(SQRT(H21),positions[Pa],positions[Pb],positions[Liquidity])</f>
        <v>3591775.8306566151</v>
      </c>
      <c r="M21">
        <f t="shared" si="1"/>
        <v>3.0213848699311937E-3</v>
      </c>
    </row>
    <row r="22" spans="8:13" x14ac:dyDescent="0.25">
      <c r="H22">
        <f t="shared" si="4"/>
        <v>3972.1431845821821</v>
      </c>
      <c r="I22">
        <f t="shared" si="0"/>
        <v>0.60420782647402194</v>
      </c>
      <c r="J22">
        <f>SUMIFS(positions[Liquidity],positions[Pb],"&gt;=" &amp;H22,positions[Pa],"&lt;" &amp;H22)</f>
        <v>24887.9627</v>
      </c>
      <c r="K22">
        <f>xAmount(SQRT(H22),positions[Pa],positions[Pb],positions[Liquidity])</f>
        <v>359.23243974318939</v>
      </c>
      <c r="L22">
        <f>yAmount(SQRT(H22),positions[Pa],positions[Pb],positions[Liquidity])</f>
        <v>3551027.1648790496</v>
      </c>
      <c r="M22">
        <f t="shared" si="1"/>
        <v>2.902936472057728E-3</v>
      </c>
    </row>
    <row r="23" spans="8:13" x14ac:dyDescent="0.25">
      <c r="H23">
        <f t="shared" si="4"/>
        <v>3773.536025353073</v>
      </c>
      <c r="I23">
        <f t="shared" si="0"/>
        <v>0.63600823839370735</v>
      </c>
      <c r="J23">
        <f>SUMIFS(positions[Liquidity],positions[Pb],"&gt;=" &amp;H23,positions[Pa],"&lt;" &amp;H23)</f>
        <v>47291.159500000002</v>
      </c>
      <c r="K23">
        <f>xAmount(SQRT(H23),positions[Pa],positions[Pb],positions[Liquidity])</f>
        <v>370.18700668799886</v>
      </c>
      <c r="L23">
        <f>yAmount(SQRT(H23),positions[Pa],positions[Pb],positions[Liquidity])</f>
        <v>3508679.0366414301</v>
      </c>
      <c r="M23">
        <f t="shared" si="1"/>
        <v>1.673754777630968E-3</v>
      </c>
    </row>
    <row r="24" spans="8:13" x14ac:dyDescent="0.25">
      <c r="H24">
        <f t="shared" si="4"/>
        <v>3584.8592240854191</v>
      </c>
      <c r="I24">
        <f t="shared" si="0"/>
        <v>0.6694823562039024</v>
      </c>
      <c r="J24">
        <f>SUMIFS(positions[Liquidity],positions[Pb],"&gt;=" &amp;H24,positions[Pa],"&lt;" &amp;H24)</f>
        <v>47291.159500000002</v>
      </c>
      <c r="K24">
        <f>xAmount(SQRT(H24),positions[Pa],positions[Pb],positions[Liquidity])</f>
        <v>390.18642252690347</v>
      </c>
      <c r="L24">
        <f>yAmount(SQRT(H24),positions[Pa],positions[Pb],positions[Liquidity])</f>
        <v>3435121.4259952167</v>
      </c>
      <c r="M24">
        <f t="shared" si="1"/>
        <v>1.7172361685484853E-3</v>
      </c>
    </row>
    <row r="25" spans="8:13" x14ac:dyDescent="0.25">
      <c r="H25">
        <f t="shared" si="4"/>
        <v>3405.616262881148</v>
      </c>
      <c r="I25">
        <f t="shared" si="0"/>
        <v>0.70471826968831841</v>
      </c>
      <c r="J25">
        <f>SUMIFS(positions[Liquidity],positions[Pb],"&gt;=" &amp;H25,positions[Pa],"&lt;" &amp;H25)</f>
        <v>47291.159500000002</v>
      </c>
      <c r="K25">
        <f>xAmount(SQRT(H25),positions[Pa],positions[Pb],positions[Liquidity])</f>
        <v>410.70539023196852</v>
      </c>
      <c r="L25">
        <f>yAmount(SQRT(H25),positions[Pa],positions[Pb],positions[Liquidity])</f>
        <v>3363426.3356487993</v>
      </c>
      <c r="M25">
        <f t="shared" si="1"/>
        <v>1.7618471343483902E-3</v>
      </c>
    </row>
    <row r="26" spans="8:13" x14ac:dyDescent="0.25">
      <c r="H26">
        <f t="shared" si="4"/>
        <v>3235.3354497370906</v>
      </c>
      <c r="I26">
        <f t="shared" si="0"/>
        <v>0.74180870493507201</v>
      </c>
      <c r="J26">
        <f>SUMIFS(positions[Liquidity],positions[Pb],"&gt;=" &amp;H26,positions[Pa],"&lt;" &amp;H26)</f>
        <v>47291.159500000002</v>
      </c>
      <c r="K26">
        <f>xAmount(SQRT(H26),positions[Pa],positions[Pb],positions[Liquidity])</f>
        <v>431.7574069044997</v>
      </c>
      <c r="L26">
        <f>yAmount(SQRT(H26),positions[Pa],positions[Pb],positions[Liquidity])</f>
        <v>3293546.6055348967</v>
      </c>
      <c r="M26">
        <f t="shared" si="1"/>
        <v>1.8076170195247163E-3</v>
      </c>
    </row>
    <row r="27" spans="8:13" x14ac:dyDescent="0.25">
      <c r="H27">
        <f>0.95*H26</f>
        <v>3073.5686772502359</v>
      </c>
      <c r="I27">
        <f t="shared" si="0"/>
        <v>0.78085126835270746</v>
      </c>
      <c r="J27">
        <f>SUMIFS(positions[Liquidity],positions[Pb],"&gt;=" &amp;H27,positions[Pa],"&lt;" &amp;H27)</f>
        <v>47291.159500000002</v>
      </c>
      <c r="K27">
        <f>xAmount(SQRT(H27),positions[Pa],positions[Pb],positions[Liquidity])</f>
        <v>453.35632027825244</v>
      </c>
      <c r="L27">
        <f>yAmount(SQRT(H27),positions[Pa],positions[Pb],positions[Liquidity])</f>
        <v>3225436.2697058003</v>
      </c>
      <c r="M27">
        <f t="shared" si="1"/>
        <v>1.8545759308930417E-3</v>
      </c>
    </row>
    <row r="28" spans="8:13" x14ac:dyDescent="0.25">
      <c r="H28">
        <f t="shared" ref="H28:H29" si="5">0.95*H27</f>
        <v>2919.8902433877238</v>
      </c>
      <c r="I28">
        <f t="shared" si="0"/>
        <v>0.82194870352916583</v>
      </c>
      <c r="J28">
        <f>SUMIFS(positions[Liquidity],positions[Pb],"&gt;=" &amp;H28,positions[Pa],"&lt;" &amp;H28)</f>
        <v>47291.159500000002</v>
      </c>
      <c r="K28">
        <f>xAmount(SQRT(H28),positions[Pa],positions[Pb],positions[Liquidity])</f>
        <v>475.51633782828532</v>
      </c>
      <c r="L28">
        <f>yAmount(SQRT(H28),positions[Pa],positions[Pb],positions[Liquidity])</f>
        <v>3159050.5260975924</v>
      </c>
      <c r="M28">
        <f t="shared" si="1"/>
        <v>1.9027547573944421E-3</v>
      </c>
    </row>
    <row r="29" spans="8:13" x14ac:dyDescent="0.25">
      <c r="H29">
        <f t="shared" si="5"/>
        <v>2773.8957312183375</v>
      </c>
      <c r="I29">
        <f t="shared" si="0"/>
        <v>0.86520916160964823</v>
      </c>
      <c r="J29">
        <f>SUMIFS(positions[Liquidity],positions[Pb],"&gt;=" &amp;H29,positions[Pa],"&lt;" &amp;H29)</f>
        <v>47291.159500000002</v>
      </c>
      <c r="K29">
        <f>xAmount(SQRT(H29),positions[Pa],positions[Pb],positions[Liquidity])</f>
        <v>498.25203611644599</v>
      </c>
      <c r="L29">
        <f>yAmount(SQRT(H29),positions[Pa],positions[Pb],positions[Liquidity])</f>
        <v>3094345.707059951</v>
      </c>
      <c r="M29">
        <f t="shared" si="1"/>
        <v>1.9521851904137318E-3</v>
      </c>
    </row>
    <row r="30" spans="8:13" x14ac:dyDescent="0.25">
      <c r="H30">
        <f>0.95*H29</f>
        <v>2635.2009446574207</v>
      </c>
      <c r="I30">
        <f t="shared" si="0"/>
        <v>0.91074648590489282</v>
      </c>
      <c r="J30">
        <f>SUMIFS(positions[Liquidity],positions[Pb],"&gt;=" &amp;H30,positions[Pa],"&lt;" &amp;H30)</f>
        <v>47291.159500000002</v>
      </c>
      <c r="K30">
        <f>xAmount(SQRT(H30),positions[Pa],positions[Pb],positions[Liquidity])</f>
        <v>521.57837037963839</v>
      </c>
      <c r="L30">
        <f>yAmount(SQRT(H30),positions[Pa],positions[Pb],positions[Liquidity])</f>
        <v>3031279.2506321538</v>
      </c>
      <c r="M30">
        <f t="shared" si="1"/>
        <v>1.5560926004386914E-3</v>
      </c>
    </row>
    <row r="31" spans="8:13" x14ac:dyDescent="0.25">
      <c r="H31">
        <f t="shared" ref="H31:H38" si="6">0.95*H30</f>
        <v>2503.4408974245493</v>
      </c>
      <c r="I31">
        <f t="shared" si="0"/>
        <v>0.95868051147883471</v>
      </c>
      <c r="J31">
        <f>SUMIFS(positions[Liquidity],positions[Pb],"&gt;=" &amp;H31,positions[Pa],"&lt;" &amp;H31)</f>
        <v>95935.128899999996</v>
      </c>
      <c r="K31">
        <f>xAmount(SQRT(H31),positions[Pa],positions[Pb],positions[Liquidity])</f>
        <v>552.38246620300288</v>
      </c>
      <c r="L31">
        <f>yAmount(SQRT(H31),positions[Pa],positions[Pb],positions[Liquidity])</f>
        <v>2952484.112279431</v>
      </c>
      <c r="M31">
        <f t="shared" si="1"/>
        <v>1.0129772863672485E-3</v>
      </c>
    </row>
    <row r="32" spans="8:13" x14ac:dyDescent="0.25">
      <c r="H32">
        <f t="shared" si="6"/>
        <v>2378.2688525533217</v>
      </c>
      <c r="I32">
        <f t="shared" si="0"/>
        <v>1.0091373805040367</v>
      </c>
      <c r="J32">
        <f>SUMIFS(positions[Liquidity],positions[Pb],"&gt;=" &amp;H32,positions[Pa],"&lt;" &amp;H32)</f>
        <v>95935.128899999996</v>
      </c>
      <c r="K32">
        <f>xAmount(SQRT(H32),positions[Pa],positions[Pb],positions[Liquidity])</f>
        <v>602.19293056805395</v>
      </c>
      <c r="L32">
        <f>yAmount(SQRT(H32),positions[Pa],positions[Pb],positions[Liquidity])</f>
        <v>2830943.9712445377</v>
      </c>
      <c r="M32">
        <f t="shared" si="1"/>
        <v>1.0392927669667634E-3</v>
      </c>
    </row>
    <row r="33" spans="8:18" x14ac:dyDescent="0.25">
      <c r="H33">
        <f t="shared" si="6"/>
        <v>2259.3554099256557</v>
      </c>
      <c r="I33">
        <f t="shared" si="0"/>
        <v>1.0622498742147755</v>
      </c>
      <c r="J33">
        <f>SUMIFS(positions[Liquidity],positions[Pb],"&gt;=" &amp;H33,positions[Pa],"&lt;" &amp;H33)</f>
        <v>95935.128899999996</v>
      </c>
      <c r="K33">
        <f>xAmount(SQRT(H33),positions[Pa],positions[Pb],positions[Liquidity])</f>
        <v>653.29738871390509</v>
      </c>
      <c r="L33">
        <f>yAmount(SQRT(H33),positions[Pa],positions[Pb],positions[Liquidity])</f>
        <v>2712481.2953139204</v>
      </c>
      <c r="M33">
        <f t="shared" si="1"/>
        <v>1.0662918803865801E-3</v>
      </c>
    </row>
    <row r="34" spans="8:18" x14ac:dyDescent="0.25">
      <c r="H34">
        <f t="shared" si="6"/>
        <v>2146.3876394293729</v>
      </c>
      <c r="I34">
        <f t="shared" si="0"/>
        <v>1.1181577623313426</v>
      </c>
      <c r="J34">
        <f>SUMIFS(positions[Liquidity],positions[Pb],"&gt;=" &amp;H34,positions[Pa],"&lt;" &amp;H34)</f>
        <v>95935.128899999996</v>
      </c>
      <c r="K34">
        <f>xAmount(SQRT(H34),positions[Pa],positions[Pb],positions[Liquidity])</f>
        <v>705.72945646659014</v>
      </c>
      <c r="L34">
        <f>yAmount(SQRT(H34),positions[Pa],positions[Pb],positions[Liquidity])</f>
        <v>2597018.1613307721</v>
      </c>
      <c r="M34">
        <f t="shared" si="1"/>
        <v>1.093992386280801E-3</v>
      </c>
    </row>
    <row r="35" spans="8:18" x14ac:dyDescent="0.25">
      <c r="H35">
        <f t="shared" si="6"/>
        <v>2039.0682574579041</v>
      </c>
      <c r="I35">
        <f t="shared" si="0"/>
        <v>1.1770081708750975</v>
      </c>
      <c r="J35">
        <f>SUMIFS(positions[Liquidity],positions[Pb],"&gt;=" &amp;H35,positions[Pa],"&lt;" &amp;H35)</f>
        <v>95935.128899999996</v>
      </c>
      <c r="K35">
        <f>xAmount(SQRT(H35),positions[Pa],positions[Pb],positions[Liquidity])</f>
        <v>759.52362293590727</v>
      </c>
      <c r="L35">
        <f>yAmount(SQRT(H35),positions[Pa],positions[Pb],positions[Liquidity])</f>
        <v>2484478.619196685</v>
      </c>
      <c r="M35">
        <f t="shared" si="1"/>
        <v>1.1224125056700899E-3</v>
      </c>
    </row>
    <row r="36" spans="8:18" x14ac:dyDescent="0.25">
      <c r="H36">
        <f t="shared" si="6"/>
        <v>1937.1148445850088</v>
      </c>
      <c r="I36">
        <f t="shared" ref="I36:I67" si="7">1/(H36/$F$1)</f>
        <v>1.2389559693422081</v>
      </c>
      <c r="J36">
        <f>SUMIFS(positions[Liquidity],positions[Pb],"&gt;=" &amp;H36,positions[Pa],"&lt;" &amp;H36)</f>
        <v>95935.128899999996</v>
      </c>
      <c r="K36">
        <f>xAmount(SQRT(H36),positions[Pa],positions[Pb],positions[Liquidity])</f>
        <v>814.71527320189148</v>
      </c>
      <c r="L36">
        <f>yAmount(SQRT(H36),positions[Pa],positions[Pb],positions[Liquidity])</f>
        <v>2374788.6419126946</v>
      </c>
      <c r="M36">
        <f t="shared" si="1"/>
        <v>1.2751768227416815E-3</v>
      </c>
    </row>
    <row r="37" spans="8:18" x14ac:dyDescent="0.25">
      <c r="H37">
        <f t="shared" si="6"/>
        <v>1840.2591023557582</v>
      </c>
      <c r="I37">
        <f t="shared" si="7"/>
        <v>1.3041641782549558</v>
      </c>
      <c r="J37">
        <f>SUMIFS(positions[Liquidity],positions[Pb],"&gt;=" &amp;H37,positions[Pa],"&lt;" &amp;H37)</f>
        <v>84593.946100000001</v>
      </c>
      <c r="K37">
        <f>xAmount(SQRT(H37),positions[Pa],positions[Pb],positions[Liquidity])</f>
        <v>865.85187461262558</v>
      </c>
      <c r="L37">
        <f>yAmount(SQRT(H37),positions[Pa],positions[Pb],positions[Liquidity])</f>
        <v>2278191.1161345309</v>
      </c>
      <c r="M37">
        <f t="shared" si="1"/>
        <v>1.3398842149959982E-3</v>
      </c>
    </row>
    <row r="38" spans="8:18" x14ac:dyDescent="0.25">
      <c r="H38">
        <f t="shared" si="6"/>
        <v>1748.2461472379703</v>
      </c>
      <c r="I38">
        <f t="shared" si="7"/>
        <v>1.3728043981631115</v>
      </c>
      <c r="J38">
        <f>SUMIFS(positions[Liquidity],positions[Pb],"&gt;=" &amp;H38,positions[Pa],"&lt;" &amp;H38)</f>
        <v>84593.946100000001</v>
      </c>
      <c r="K38">
        <f>xAmount(SQRT(H38),positions[Pa],positions[Pb],positions[Liquidity])</f>
        <v>917.08034580434025</v>
      </c>
      <c r="L38">
        <f>yAmount(SQRT(H38),positions[Pa],positions[Pb],positions[Liquidity])</f>
        <v>2186304.5181193533</v>
      </c>
      <c r="M38">
        <f t="shared" si="1"/>
        <v>1.3746921988864946E-3</v>
      </c>
    </row>
    <row r="39" spans="8:18" x14ac:dyDescent="0.25">
      <c r="H39">
        <f>0.95*H38</f>
        <v>1660.8338398760716</v>
      </c>
      <c r="I39">
        <f t="shared" si="7"/>
        <v>1.445057261224328</v>
      </c>
      <c r="J39">
        <f>SUMIFS(positions[Liquidity],positions[Pb],"&gt;=" &amp;H39,positions[Pa],"&lt;" &amp;H39)</f>
        <v>84593.946100000001</v>
      </c>
      <c r="K39">
        <f>xAmount(SQRT(H39),positions[Pa],positions[Pb],positions[Liquidity])</f>
        <v>969.63964825745779</v>
      </c>
      <c r="L39">
        <f>yAmount(SQRT(H39),positions[Pa],positions[Pb],positions[Liquidity])</f>
        <v>2096744.5407295465</v>
      </c>
      <c r="M39">
        <f t="shared" si="1"/>
        <v>1.4104044368378882E-3</v>
      </c>
      <c r="O39" t="s">
        <v>11</v>
      </c>
    </row>
    <row r="40" spans="8:18" x14ac:dyDescent="0.25">
      <c r="H40">
        <f t="shared" ref="H40" si="8">0.95*H39</f>
        <v>1577.792147882268</v>
      </c>
      <c r="I40">
        <f t="shared" si="7"/>
        <v>1.5211129065519242</v>
      </c>
      <c r="J40">
        <f>SUMIFS(positions[Liquidity],positions[Pb],"&gt;=" &amp;H40,positions[Pa],"&lt;" &amp;H40)</f>
        <v>84593.946100000001</v>
      </c>
      <c r="K40">
        <f>xAmount(SQRT(H40),positions[Pa],positions[Pb],positions[Liquidity])</f>
        <v>1023.5643547750523</v>
      </c>
      <c r="L40">
        <f>yAmount(SQRT(H40),positions[Pa],positions[Pb],positions[Liquidity])</f>
        <v>2009452.2726151277</v>
      </c>
      <c r="M40">
        <f t="shared" si="1"/>
        <v>1.4470444198805337E-3</v>
      </c>
      <c r="O40" t="s">
        <v>12</v>
      </c>
      <c r="P40" t="s">
        <v>1</v>
      </c>
      <c r="Q40" t="s">
        <v>10</v>
      </c>
      <c r="R40" t="s">
        <v>9</v>
      </c>
    </row>
    <row r="41" spans="8:18" x14ac:dyDescent="0.25">
      <c r="H41">
        <f>0.95*H40</f>
        <v>1498.9025404881545</v>
      </c>
      <c r="I41">
        <f t="shared" si="7"/>
        <v>1.6011714805809729</v>
      </c>
      <c r="J41">
        <f>SUMIFS(positions[Liquidity],positions[Pb],"&gt;=" &amp;H41,positions[Pa],"&lt;" &amp;H41)</f>
        <v>84593.946100000001</v>
      </c>
      <c r="K41">
        <f>xAmount(SQRT(H41),positions[Pa],positions[Pb],positions[Liquidity])</f>
        <v>1078.8899363046492</v>
      </c>
      <c r="L41">
        <f>yAmount(SQRT(H41),positions[Pa],positions[Pb],positions[Liquidity])</f>
        <v>1924370.2940948117</v>
      </c>
      <c r="M41">
        <f t="shared" si="1"/>
        <v>1.4846362493030408E-3</v>
      </c>
      <c r="O41">
        <v>-82440</v>
      </c>
      <c r="P41">
        <f>1/(1.0001^O41)</f>
        <v>3803.1609446429416</v>
      </c>
      <c r="Q41">
        <f>xAmount(SQRT(P41),positions[Pa],positions[Pb],positions[Liquidity])</f>
        <v>367.90999854683275</v>
      </c>
      <c r="R41">
        <f>yAmount(SQRT(P41),positions[Pa],positions[Pb],positions[Liquidity])</f>
        <v>3517299.8035587999</v>
      </c>
    </row>
    <row r="42" spans="8:18" x14ac:dyDescent="0.25">
      <c r="H42">
        <f t="shared" ref="H42:H49" si="9">0.95*H41</f>
        <v>1423.9574134637467</v>
      </c>
      <c r="I42">
        <f t="shared" si="7"/>
        <v>1.6854436637694452</v>
      </c>
      <c r="J42">
        <f>SUMIFS(positions[Liquidity],positions[Pb],"&gt;=" &amp;H42,positions[Pa],"&lt;" &amp;H42)</f>
        <v>84593.946100000001</v>
      </c>
      <c r="K42">
        <f>xAmount(SQRT(H42),positions[Pa],positions[Pb],positions[Liquidity])</f>
        <v>1135.6527852705381</v>
      </c>
      <c r="L42">
        <f>yAmount(SQRT(H42),positions[Pa],positions[Pb],positions[Liquidity])</f>
        <v>1841442.6393861142</v>
      </c>
      <c r="M42">
        <f t="shared" si="1"/>
        <v>1.5232046525058118E-3</v>
      </c>
    </row>
    <row r="43" spans="8:18" x14ac:dyDescent="0.25">
      <c r="H43">
        <f t="shared" si="9"/>
        <v>1352.7595427905592</v>
      </c>
      <c r="I43">
        <f t="shared" si="7"/>
        <v>1.7741512250204687</v>
      </c>
      <c r="J43">
        <f>SUMIFS(positions[Liquidity],positions[Pb],"&gt;=" &amp;H43,positions[Pa],"&lt;" &amp;H43)</f>
        <v>84593.946100000001</v>
      </c>
      <c r="K43">
        <f>xAmount(SQRT(H43),positions[Pa],positions[Pb],positions[Liquidity])</f>
        <v>1193.8902395122195</v>
      </c>
      <c r="L43">
        <f>yAmount(SQRT(H43),positions[Pa],positions[Pb],positions[Liquidity])</f>
        <v>1760614.7597918133</v>
      </c>
      <c r="M43">
        <f t="shared" si="1"/>
        <v>1.5627749992663726E-3</v>
      </c>
    </row>
    <row r="44" spans="8:18" x14ac:dyDescent="0.25">
      <c r="H44">
        <f t="shared" si="9"/>
        <v>1285.1215656510312</v>
      </c>
      <c r="I44">
        <f t="shared" si="7"/>
        <v>1.8675276052847043</v>
      </c>
      <c r="J44">
        <f>SUMIFS(positions[Liquidity],positions[Pb],"&gt;=" &amp;H44,positions[Pa],"&lt;" &amp;H44)</f>
        <v>84593.946100000001</v>
      </c>
      <c r="K44">
        <f>xAmount(SQRT(H44),positions[Pa],positions[Pb],positions[Liquidity])</f>
        <v>1253.6406068447338</v>
      </c>
      <c r="L44">
        <f>yAmount(SQRT(H44),positions[Pa],positions[Pb],positions[Liquidity])</f>
        <v>1681833.4878185508</v>
      </c>
      <c r="M44">
        <f t="shared" si="1"/>
        <v>1.2603723602939065E-3</v>
      </c>
    </row>
    <row r="45" spans="8:18" x14ac:dyDescent="0.25">
      <c r="H45">
        <f t="shared" si="9"/>
        <v>1220.8654873684795</v>
      </c>
      <c r="I45">
        <f t="shared" si="7"/>
        <v>1.9658185318786361</v>
      </c>
      <c r="J45">
        <f>SUMIFS(positions[Liquidity],positions[Pb],"&gt;=" &amp;H45,positions[Pa],"&lt;" &amp;H45)</f>
        <v>120949.3735</v>
      </c>
      <c r="K45">
        <f>xAmount(SQRT(H45),positions[Pa],positions[Pb],positions[Liquidity])</f>
        <v>1331.6262321174202</v>
      </c>
      <c r="L45">
        <f>yAmount(SQRT(H45),positions[Pa],positions[Pb],positions[Liquidity])</f>
        <v>1584347.3555556554</v>
      </c>
      <c r="M45">
        <f t="shared" si="1"/>
        <v>1.1505579847062911E-3</v>
      </c>
    </row>
    <row r="46" spans="8:18" x14ac:dyDescent="0.25">
      <c r="H46">
        <f t="shared" si="9"/>
        <v>1159.8222130000554</v>
      </c>
      <c r="I46">
        <f t="shared" si="7"/>
        <v>2.0692826651354066</v>
      </c>
      <c r="J46">
        <f>SUMIFS(positions[Liquidity],positions[Pb],"&gt;=" &amp;H46,positions[Pa],"&lt;" &amp;H46)</f>
        <v>120949.3735</v>
      </c>
      <c r="K46">
        <f>xAmount(SQRT(H46),positions[Pa],positions[Pb],positions[Liquidity])</f>
        <v>1421.5514115799592</v>
      </c>
      <c r="L46">
        <f>yAmount(SQRT(H46),positions[Pa],positions[Pb],positions[Liquidity])</f>
        <v>1477340.6649874721</v>
      </c>
      <c r="M46">
        <f t="shared" si="1"/>
        <v>1.1804475851273793E-3</v>
      </c>
    </row>
    <row r="47" spans="8:18" x14ac:dyDescent="0.25">
      <c r="H47">
        <f t="shared" si="9"/>
        <v>1101.8311023500526</v>
      </c>
      <c r="I47">
        <f t="shared" si="7"/>
        <v>2.178192279089902</v>
      </c>
      <c r="J47">
        <f>SUMIFS(positions[Liquidity],positions[Pb],"&gt;=" &amp;H47,positions[Pa],"&lt;" &amp;H47)</f>
        <v>120949.3735</v>
      </c>
      <c r="K47">
        <f>xAmount(SQRT(H47),positions[Pa],positions[Pb],positions[Liquidity])</f>
        <v>1513.8126990158967</v>
      </c>
      <c r="L47">
        <f>yAmount(SQRT(H47),positions[Pa],positions[Pb],positions[Liquidity])</f>
        <v>1373043.4443388027</v>
      </c>
      <c r="M47">
        <f t="shared" si="1"/>
        <v>1.211113668111882E-3</v>
      </c>
    </row>
    <row r="48" spans="8:18" x14ac:dyDescent="0.25">
      <c r="H48">
        <f t="shared" si="9"/>
        <v>1046.73954723255</v>
      </c>
      <c r="I48">
        <f t="shared" si="7"/>
        <v>2.2928339779893703</v>
      </c>
      <c r="J48">
        <f>SUMIFS(positions[Liquidity],positions[Pb],"&gt;=" &amp;H48,positions[Pa],"&lt;" &amp;H48)</f>
        <v>120949.3735</v>
      </c>
      <c r="K48">
        <f>xAmount(SQRT(H48),positions[Pa],positions[Pb],positions[Liquidity])</f>
        <v>1608.4707826606746</v>
      </c>
      <c r="L48">
        <f>yAmount(SQRT(H48),positions[Pa],positions[Pb],positions[Liquidity])</f>
        <v>1271387.0882990286</v>
      </c>
      <c r="M48">
        <f t="shared" si="1"/>
        <v>1.2425764053972455E-3</v>
      </c>
    </row>
    <row r="49" spans="8:13" x14ac:dyDescent="0.25">
      <c r="H49">
        <f t="shared" si="9"/>
        <v>994.40256987092243</v>
      </c>
      <c r="I49">
        <f t="shared" si="7"/>
        <v>2.4135094505151269</v>
      </c>
      <c r="J49">
        <f>SUMIFS(positions[Liquidity],positions[Pb],"&gt;=" &amp;H49,positions[Pa],"&lt;" &amp;H49)</f>
        <v>120949.3735</v>
      </c>
      <c r="K49">
        <f>xAmount(SQRT(H49),positions[Pa],positions[Pb],positions[Liquidity])</f>
        <v>1705.587927330082</v>
      </c>
      <c r="L49">
        <f>yAmount(SQRT(H49),positions[Pa],positions[Pb],positions[Liquidity])</f>
        <v>1172304.7286827932</v>
      </c>
      <c r="M49">
        <f t="shared" si="1"/>
        <v>1.3934002275413095E-3</v>
      </c>
    </row>
    <row r="50" spans="8:13" x14ac:dyDescent="0.25">
      <c r="H50">
        <f>0.95*H49</f>
        <v>944.68244137737622</v>
      </c>
      <c r="I50">
        <f t="shared" si="7"/>
        <v>2.5405362637001336</v>
      </c>
      <c r="J50">
        <f>SUMIFS(positions[Liquidity],positions[Pb],"&gt;=" &amp;H50,positions[Pa],"&lt;" &amp;H50)</f>
        <v>61659.718000000001</v>
      </c>
      <c r="K50">
        <f>xAmount(SQRT(H50),positions[Pa],positions[Pb],positions[Liquidity])</f>
        <v>1796.7511198387763</v>
      </c>
      <c r="L50">
        <f>yAmount(SQRT(H50),positions[Pa],positions[Pb],positions[Liquidity])</f>
        <v>1083774.510484067</v>
      </c>
      <c r="M50">
        <f t="shared" si="1"/>
        <v>2.5656746692886614E-3</v>
      </c>
    </row>
    <row r="51" spans="8:13" x14ac:dyDescent="0.25">
      <c r="H51">
        <f t="shared" ref="H51:H58" si="10">0.95*H50</f>
        <v>897.44831930850739</v>
      </c>
      <c r="I51">
        <f t="shared" si="7"/>
        <v>2.6742486986317195</v>
      </c>
      <c r="J51">
        <f>SUMIFS(positions[Liquidity],positions[Pb],"&gt;=" &amp;H51,positions[Pa],"&lt;" &amp;H51)</f>
        <v>61659.718000000001</v>
      </c>
      <c r="K51">
        <f>xAmount(SQRT(H51),positions[Pa],positions[Pb],positions[Liquidity])</f>
        <v>1848.8670161104801</v>
      </c>
      <c r="L51">
        <f>yAmount(SQRT(H51),positions[Pa],positions[Pb],positions[Liquidity])</f>
        <v>1035788.1450559229</v>
      </c>
      <c r="M51">
        <f t="shared" si="1"/>
        <v>2.6323266691834169E-3</v>
      </c>
    </row>
    <row r="52" spans="8:13" x14ac:dyDescent="0.25">
      <c r="H52">
        <f t="shared" si="10"/>
        <v>852.57590334308202</v>
      </c>
      <c r="I52">
        <f t="shared" si="7"/>
        <v>2.814998630138652</v>
      </c>
      <c r="J52">
        <f>SUMIFS(positions[Liquidity],positions[Pb],"&gt;=" &amp;H52,positions[Pa],"&lt;" &amp;H52)</f>
        <v>61659.718000000001</v>
      </c>
      <c r="K52">
        <f>xAmount(SQRT(H52),positions[Pa],positions[Pb],positions[Liquidity])</f>
        <v>1902.3367974847633</v>
      </c>
      <c r="L52">
        <f>yAmount(SQRT(H52),positions[Pa],positions[Pb],positions[Liquidity])</f>
        <v>989016.82153762574</v>
      </c>
      <c r="M52">
        <f t="shared" si="1"/>
        <v>2.7007101781985898E-3</v>
      </c>
    </row>
    <row r="53" spans="8:13" x14ac:dyDescent="0.25">
      <c r="H53">
        <f t="shared" si="10"/>
        <v>809.94710817592784</v>
      </c>
      <c r="I53">
        <f t="shared" si="7"/>
        <v>2.9631564527775294</v>
      </c>
      <c r="J53">
        <f>SUMIFS(positions[Liquidity],positions[Pb],"&gt;=" &amp;H53,positions[Pa],"&lt;" &amp;H53)</f>
        <v>61659.718000000001</v>
      </c>
      <c r="K53">
        <f>xAmount(SQRT(H53),positions[Pa],positions[Pb],positions[Liquidity])</f>
        <v>1957.1956356655046</v>
      </c>
      <c r="L53">
        <f>yAmount(SQRT(H53),positions[Pa],positions[Pb],positions[Liquidity])</f>
        <v>943429.77438088879</v>
      </c>
      <c r="M53">
        <f t="shared" si="1"/>
        <v>2.7708701780877983E-3</v>
      </c>
    </row>
    <row r="54" spans="8:13" x14ac:dyDescent="0.25">
      <c r="H54">
        <f t="shared" si="10"/>
        <v>769.44975276713137</v>
      </c>
      <c r="I54">
        <f t="shared" si="7"/>
        <v>3.119112055555294</v>
      </c>
      <c r="J54">
        <f>SUMIFS(positions[Liquidity],positions[Pb],"&gt;=" &amp;H54,positions[Pa],"&lt;" &amp;H54)</f>
        <v>61659.718000000001</v>
      </c>
      <c r="K54">
        <f>xAmount(SQRT(H54),positions[Pa],positions[Pb],positions[Liquidity])</f>
        <v>2013.4796160594872</v>
      </c>
      <c r="L54">
        <f>yAmount(SQRT(H54),positions[Pa],positions[Pb],positions[Liquidity])</f>
        <v>898997.01703850646</v>
      </c>
      <c r="M54">
        <f t="shared" si="1"/>
        <v>2.8428528191563884E-3</v>
      </c>
    </row>
    <row r="55" spans="8:13" x14ac:dyDescent="0.25">
      <c r="H55">
        <f t="shared" si="10"/>
        <v>730.97726512877477</v>
      </c>
      <c r="I55">
        <f t="shared" si="7"/>
        <v>3.2832758479529414</v>
      </c>
      <c r="J55">
        <f>SUMIFS(positions[Liquidity],positions[Pb],"&gt;=" &amp;H55,positions[Pa],"&lt;" &amp;H55)</f>
        <v>61659.718000000001</v>
      </c>
      <c r="K55">
        <f>xAmount(SQRT(H55),positions[Pa],positions[Pb],positions[Liquidity])</f>
        <v>2071.2257615128992</v>
      </c>
      <c r="L55">
        <f>yAmount(SQRT(H55),positions[Pa],positions[Pb],positions[Liquidity])</f>
        <v>855689.32223960618</v>
      </c>
      <c r="M55">
        <f t="shared" si="1"/>
        <v>2.916705450618748E-3</v>
      </c>
    </row>
    <row r="56" spans="8:13" x14ac:dyDescent="0.25">
      <c r="H56">
        <f t="shared" si="10"/>
        <v>694.42840187233605</v>
      </c>
      <c r="I56">
        <f t="shared" si="7"/>
        <v>3.4560798399504646</v>
      </c>
      <c r="J56">
        <f>SUMIFS(positions[Liquidity],positions[Pb],"&gt;=" &amp;H56,positions[Pa],"&lt;" &amp;H56)</f>
        <v>61659.718000000001</v>
      </c>
      <c r="K56">
        <f>xAmount(SQRT(H56),positions[Pa],positions[Pb],positions[Liquidity])</f>
        <v>2130.4720566644596</v>
      </c>
      <c r="L56">
        <f>yAmount(SQRT(H56),positions[Pa],positions[Pb],positions[Liquidity])</f>
        <v>813478.20276434324</v>
      </c>
      <c r="M56">
        <f t="shared" si="1"/>
        <v>2.9924766517435801E-3</v>
      </c>
    </row>
    <row r="57" spans="8:13" x14ac:dyDescent="0.25">
      <c r="H57">
        <f t="shared" si="10"/>
        <v>659.70698177871918</v>
      </c>
      <c r="I57">
        <f t="shared" si="7"/>
        <v>3.6379787788952256</v>
      </c>
      <c r="J57">
        <f>SUMIFS(positions[Liquidity],positions[Pb],"&gt;=" &amp;H57,positions[Pa],"&lt;" &amp;H57)</f>
        <v>61659.718000000001</v>
      </c>
      <c r="K57">
        <f>xAmount(SQRT(H57),positions[Pa],positions[Pb],positions[Liquidity])</f>
        <v>2191.2574729312087</v>
      </c>
      <c r="L57">
        <f>yAmount(SQRT(H57),positions[Pa],positions[Pb],positions[Liquidity])</f>
        <v>772335.89270538802</v>
      </c>
      <c r="M57">
        <f t="shared" si="1"/>
        <v>3.0702162638091795E-3</v>
      </c>
    </row>
    <row r="58" spans="8:13" x14ac:dyDescent="0.25">
      <c r="H58">
        <f t="shared" si="10"/>
        <v>626.72163268978318</v>
      </c>
      <c r="I58">
        <f t="shared" si="7"/>
        <v>3.8294513462055013</v>
      </c>
      <c r="J58">
        <f>SUMIFS(positions[Liquidity],positions[Pb],"&gt;=" &amp;H58,positions[Pa],"&lt;" &amp;H58)</f>
        <v>61659.718000000001</v>
      </c>
      <c r="K58">
        <f>xAmount(SQRT(H58),positions[Pa],positions[Pb],positions[Liquidity])</f>
        <v>2253.6219941433783</v>
      </c>
      <c r="L58">
        <f>yAmount(SQRT(H58),positions[Pa],positions[Pb],positions[Liquidity])</f>
        <v>732235.32920388784</v>
      </c>
      <c r="M58">
        <f t="shared" si="1"/>
        <v>3.14997542288799E-3</v>
      </c>
    </row>
    <row r="59" spans="8:13" x14ac:dyDescent="0.25">
      <c r="H59">
        <f>0.95*H58</f>
        <v>595.38555105529394</v>
      </c>
      <c r="I59">
        <f t="shared" si="7"/>
        <v>4.0310014170584232</v>
      </c>
      <c r="J59">
        <f>SUMIFS(positions[Liquidity],positions[Pb],"&gt;=" &amp;H59,positions[Pa],"&lt;" &amp;H59)</f>
        <v>61659.718000000001</v>
      </c>
      <c r="K59">
        <f>xAmount(SQRT(H59),positions[Pa],positions[Pb],positions[Liquidity])</f>
        <v>2317.6066428452195</v>
      </c>
      <c r="L59">
        <f>yAmount(SQRT(H59),positions[Pa],positions[Pb],positions[Liquidity])</f>
        <v>693150.13464788068</v>
      </c>
      <c r="M59">
        <f t="shared" si="1"/>
        <v>3.2318065934833782E-3</v>
      </c>
    </row>
    <row r="60" spans="8:13" x14ac:dyDescent="0.25">
      <c r="H60">
        <f t="shared" ref="H60:H62" si="11">0.95*H59</f>
        <v>565.61627350252922</v>
      </c>
      <c r="I60">
        <f t="shared" si="7"/>
        <v>4.2431593863772878</v>
      </c>
      <c r="J60">
        <f>SUMIFS(positions[Liquidity],positions[Pb],"&gt;=" &amp;H60,positions[Pa],"&lt;" &amp;H60)</f>
        <v>61659.718000000001</v>
      </c>
      <c r="K60">
        <f>xAmount(SQRT(H60),positions[Pa],positions[Pb],positions[Liquidity])</f>
        <v>2383.2535072790815</v>
      </c>
      <c r="L60">
        <f>yAmount(SQRT(H60),positions[Pa],positions[Pb],positions[Liquidity])</f>
        <v>655054.59932145546</v>
      </c>
      <c r="M60">
        <f t="shared" si="1"/>
        <v>3.3157636030399867E-3</v>
      </c>
    </row>
    <row r="61" spans="8:13" x14ac:dyDescent="0.25">
      <c r="H61">
        <f t="shared" si="11"/>
        <v>537.3354598274027</v>
      </c>
      <c r="I61">
        <f t="shared" si="7"/>
        <v>4.4664835646076719</v>
      </c>
      <c r="J61">
        <f>SUMIFS(positions[Liquidity],positions[Pb],"&gt;=" &amp;H61,positions[Pa],"&lt;" &amp;H61)</f>
        <v>61659.718000000001</v>
      </c>
      <c r="K61">
        <f>xAmount(SQRT(H61),positions[Pa],positions[Pb],positions[Liquidity])</f>
        <v>2450.6057690704934</v>
      </c>
      <c r="L61">
        <f>yAmount(SQRT(H61),positions[Pa],positions[Pb],positions[Liquidity])</f>
        <v>617923.66449324857</v>
      </c>
      <c r="M61">
        <f t="shared" si="1"/>
        <v>3.4019016773508986E-3</v>
      </c>
    </row>
    <row r="62" spans="8:13" x14ac:dyDescent="0.25">
      <c r="H62">
        <f t="shared" si="11"/>
        <v>510.46868683603253</v>
      </c>
      <c r="I62">
        <f t="shared" si="7"/>
        <v>4.7015616469554447</v>
      </c>
      <c r="J62">
        <f>SUMIFS(positions[Liquidity],positions[Pb],"&gt;=" &amp;H62,positions[Pa],"&lt;" &amp;H62)</f>
        <v>61659.718000000001</v>
      </c>
      <c r="K62">
        <f>xAmount(SQRT(H62),positions[Pa],positions[Pb],positions[Liquidity])</f>
        <v>2519.7077316324539</v>
      </c>
      <c r="L62">
        <f>yAmount(SQRT(H62),positions[Pa],positions[Pb],positions[Liquidity])</f>
        <v>581732.90593314462</v>
      </c>
      <c r="M62">
        <f t="shared" si="1"/>
        <v>3.4902774768841844E-3</v>
      </c>
    </row>
    <row r="63" spans="8:13" x14ac:dyDescent="0.25">
      <c r="H63">
        <f>0.95*H62</f>
        <v>484.94525249423089</v>
      </c>
      <c r="I63">
        <f t="shared" si="7"/>
        <v>4.9490122599530988</v>
      </c>
      <c r="J63">
        <f>SUMIFS(positions[Liquidity],positions[Pb],"&gt;=" &amp;H63,positions[Pa],"&lt;" &amp;H63)</f>
        <v>61659.718000000001</v>
      </c>
      <c r="K63">
        <f>xAmount(SQRT(H63),positions[Pa],positions[Pb],positions[Liquidity])</f>
        <v>2590.6048493076241</v>
      </c>
      <c r="L63">
        <f>yAmount(SQRT(H63),positions[Pa],positions[Pb],positions[Liquidity])</f>
        <v>546458.51784634811</v>
      </c>
      <c r="M63">
        <f t="shared" si="1"/>
        <v>3.1347009260151702E-3</v>
      </c>
    </row>
    <row r="64" spans="8:13" x14ac:dyDescent="0.25">
      <c r="H64">
        <f t="shared" ref="H64:H65" si="12">0.95*H63</f>
        <v>460.69798986951935</v>
      </c>
      <c r="I64">
        <f t="shared" si="7"/>
        <v>5.2094865894243148</v>
      </c>
      <c r="J64">
        <f>SUMIFS(positions[Liquidity],positions[Pb],"&gt;=" &amp;H64,positions[Pa],"&lt;" &amp;H64)</f>
        <v>78265.537899999996</v>
      </c>
      <c r="K64">
        <f>xAmount(SQRT(H64),positions[Pa],positions[Pb],positions[Liquidity])</f>
        <v>2673.6986868439312</v>
      </c>
      <c r="L64">
        <f>yAmount(SQRT(H64),positions[Pa],positions[Pb],positions[Liquidity])</f>
        <v>507242.08615883277</v>
      </c>
      <c r="M64">
        <f t="shared" si="1"/>
        <v>2.8944583803841564E-3</v>
      </c>
    </row>
    <row r="65" spans="8:13" x14ac:dyDescent="0.25">
      <c r="H65">
        <f t="shared" si="12"/>
        <v>437.66309037604339</v>
      </c>
      <c r="I65">
        <f t="shared" si="7"/>
        <v>5.4836700941308578</v>
      </c>
      <c r="J65">
        <f>SUMIFS(positions[Liquidity],positions[Pb],"&gt;=" &amp;H65,positions[Pa],"&lt;" &amp;H65)</f>
        <v>78265.537899999996</v>
      </c>
      <c r="K65">
        <f>xAmount(SQRT(H65),positions[Pa],positions[Pb],positions[Liquidity])</f>
        <v>2768.4257371842277</v>
      </c>
      <c r="L65">
        <f>yAmount(SQRT(H65),positions[Pa],positions[Pb],positions[Liquidity])</f>
        <v>464706.5281820487</v>
      </c>
      <c r="M65">
        <f t="shared" si="1"/>
        <v>2.9696516392855869E-3</v>
      </c>
    </row>
    <row r="66" spans="8:13" x14ac:dyDescent="0.25">
      <c r="H66">
        <f>0.95*H65</f>
        <v>415.77993585724118</v>
      </c>
      <c r="I66">
        <f t="shared" si="7"/>
        <v>5.7722843096114298</v>
      </c>
      <c r="J66">
        <f>SUMIFS(positions[Liquidity],positions[Pb],"&gt;=" &amp;H66,positions[Pa],"&lt;" &amp;H66)</f>
        <v>78265.537899999996</v>
      </c>
      <c r="K66">
        <f>xAmount(SQRT(H66),positions[Pa],positions[Pb],positions[Liquidity])</f>
        <v>2865.6136401902531</v>
      </c>
      <c r="L66">
        <f>yAmount(SQRT(H66),positions[Pa],positions[Pb],positions[Liquidity])</f>
        <v>423247.99458790733</v>
      </c>
      <c r="M66">
        <f t="shared" si="1"/>
        <v>3.0467982951412034E-3</v>
      </c>
    </row>
    <row r="67" spans="8:13" x14ac:dyDescent="0.25">
      <c r="H67">
        <f t="shared" ref="H67:H74" si="13">0.95*H66</f>
        <v>394.99093906437912</v>
      </c>
      <c r="I67">
        <f t="shared" si="7"/>
        <v>6.0760887469593996</v>
      </c>
      <c r="J67">
        <f>SUMIFS(positions[Liquidity],positions[Pb],"&gt;=" &amp;H67,positions[Pa],"&lt;" &amp;H67)</f>
        <v>78265.537899999996</v>
      </c>
      <c r="K67">
        <f>xAmount(SQRT(H67),positions[Pa],positions[Pb],positions[Liquidity])</f>
        <v>2965.3263247589866</v>
      </c>
      <c r="L67">
        <f>yAmount(SQRT(H67),positions[Pa],positions[Pb],positions[Liquidity])</f>
        <v>382839.21450996218</v>
      </c>
      <c r="M67">
        <f t="shared" si="1"/>
        <v>3.1259490939848137E-3</v>
      </c>
    </row>
    <row r="68" spans="8:13" x14ac:dyDescent="0.25">
      <c r="H68">
        <f t="shared" si="13"/>
        <v>375.24139211116017</v>
      </c>
      <c r="I68">
        <f t="shared" ref="I68:I78" si="14">1/(H68/$F$1)</f>
        <v>6.3958828915362096</v>
      </c>
      <c r="J68">
        <f>SUMIFS(positions[Liquidity],positions[Pb],"&gt;=" &amp;H68,positions[Pa],"&lt;" &amp;H68)</f>
        <v>78265.537899999996</v>
      </c>
      <c r="K68">
        <f>xAmount(SQRT(H68),positions[Pa],positions[Pb],positions[Liquidity])</f>
        <v>3067.629380554803</v>
      </c>
      <c r="L68">
        <f>yAmount(SQRT(H68),positions[Pa],positions[Pb],positions[Liquidity])</f>
        <v>343453.60759552795</v>
      </c>
      <c r="M68">
        <f t="shared" si="1"/>
        <v>3.2071561001486568E-3</v>
      </c>
    </row>
    <row r="69" spans="8:13" x14ac:dyDescent="0.25">
      <c r="H69">
        <f t="shared" si="13"/>
        <v>356.47932250560217</v>
      </c>
      <c r="I69">
        <f t="shared" si="14"/>
        <v>6.7325083068802209</v>
      </c>
      <c r="J69">
        <f>SUMIFS(positions[Liquidity],positions[Pb],"&gt;=" &amp;H69,positions[Pa],"&lt;" &amp;H69)</f>
        <v>78265.537899999996</v>
      </c>
      <c r="K69">
        <f>xAmount(SQRT(H69),positions[Pa],positions[Pb],positions[Liquidity])</f>
        <v>3172.5901011534693</v>
      </c>
      <c r="L69">
        <f>yAmount(SQRT(H69),positions[Pa],positions[Pb],positions[Liquidity])</f>
        <v>305065.26652148034</v>
      </c>
      <c r="M69">
        <f t="shared" ref="M69:M78" si="15">-(I70-I69)/(K69-K70)</f>
        <v>3.2904727305103376E-3</v>
      </c>
    </row>
    <row r="70" spans="8:13" x14ac:dyDescent="0.25">
      <c r="H70">
        <f t="shared" si="13"/>
        <v>338.65535638032202</v>
      </c>
      <c r="I70">
        <f t="shared" si="14"/>
        <v>7.0868508493476021</v>
      </c>
      <c r="J70">
        <f>SUMIFS(positions[Liquidity],positions[Pb],"&gt;=" &amp;H70,positions[Pa],"&lt;" &amp;H70)</f>
        <v>78265.537899999996</v>
      </c>
      <c r="K70">
        <f>xAmount(SQRT(H70),positions[Pa],positions[Pb],positions[Liquidity])</f>
        <v>3280.2775283069604</v>
      </c>
      <c r="L70">
        <f>yAmount(SQRT(H70),positions[Pa],positions[Pb],positions[Liquidity])</f>
        <v>267648.93995276751</v>
      </c>
      <c r="M70">
        <f t="shared" si="15"/>
        <v>3.3759537896301353E-3</v>
      </c>
    </row>
    <row r="71" spans="8:13" x14ac:dyDescent="0.25">
      <c r="H71">
        <f t="shared" si="13"/>
        <v>321.72258856130588</v>
      </c>
      <c r="I71">
        <f t="shared" si="14"/>
        <v>7.459842999313266</v>
      </c>
      <c r="J71">
        <f>SUMIFS(positions[Liquidity],positions[Pb],"&gt;=" &amp;H71,positions[Pa],"&lt;" &amp;H71)</f>
        <v>78265.537899999996</v>
      </c>
      <c r="K71">
        <f>xAmount(SQRT(H71),positions[Pa],positions[Pb],positions[Liquidity])</f>
        <v>3390.7624973581892</v>
      </c>
      <c r="L71">
        <f>yAmount(SQRT(H71),positions[Pa],positions[Pb],positions[Liquidity])</f>
        <v>231180.0159324221</v>
      </c>
      <c r="M71">
        <f t="shared" si="15"/>
        <v>3.4636555058003703E-3</v>
      </c>
    </row>
    <row r="72" spans="8:13" x14ac:dyDescent="0.25">
      <c r="H72">
        <f t="shared" si="13"/>
        <v>305.63645913324058</v>
      </c>
      <c r="I72">
        <f t="shared" si="14"/>
        <v>7.8524663150665965</v>
      </c>
      <c r="J72">
        <f>SUMIFS(positions[Liquidity],positions[Pb],"&gt;=" &amp;H72,positions[Pa],"&lt;" &amp;H72)</f>
        <v>78265.537899999996</v>
      </c>
      <c r="K72">
        <f>xAmount(SQRT(H72),positions[Pa],positions[Pb],positions[Liquidity])</f>
        <v>3504.1176838355477</v>
      </c>
      <c r="L72">
        <f>yAmount(SQRT(H72),positions[Pa],positions[Pb],positions[Liquidity])</f>
        <v>195634.50569214523</v>
      </c>
      <c r="M72">
        <f t="shared" si="15"/>
        <v>3.5536355680317365E-3</v>
      </c>
    </row>
    <row r="73" spans="8:13" x14ac:dyDescent="0.25">
      <c r="H73">
        <f t="shared" si="13"/>
        <v>290.35463617657854</v>
      </c>
      <c r="I73">
        <f t="shared" si="14"/>
        <v>8.2657540158595761</v>
      </c>
      <c r="J73">
        <f>SUMIFS(positions[Liquidity],positions[Pb],"&gt;=" &amp;H73,positions[Pa],"&lt;" &amp;H73)</f>
        <v>78265.537899999996</v>
      </c>
      <c r="K73">
        <f>xAmount(SQRT(H73),positions[Pa],positions[Pb],positions[Liquidity])</f>
        <v>3620.4176512578933</v>
      </c>
      <c r="L73">
        <f>yAmount(SQRT(H73),positions[Pa],positions[Pb],positions[Liquidity])</f>
        <v>160989.02787281701</v>
      </c>
      <c r="M73">
        <f t="shared" si="15"/>
        <v>3.645953164000377E-3</v>
      </c>
    </row>
    <row r="74" spans="8:13" x14ac:dyDescent="0.25">
      <c r="H74">
        <f t="shared" si="13"/>
        <v>275.83690436774958</v>
      </c>
      <c r="I74">
        <f t="shared" si="14"/>
        <v>8.700793700904816</v>
      </c>
      <c r="J74">
        <f>SUMIFS(positions[Liquidity],positions[Pb],"&gt;=" &amp;H74,positions[Pa],"&lt;" &amp;H74)</f>
        <v>78265.537899999996</v>
      </c>
      <c r="K74">
        <f>xAmount(SQRT(H74),positions[Pa],positions[Pb],positions[Liquidity])</f>
        <v>3739.7389001814286</v>
      </c>
      <c r="L74">
        <f>yAmount(SQRT(H74),positions[Pa],positions[Pb],positions[Liquidity])</f>
        <v>127220.79314455405</v>
      </c>
      <c r="M74">
        <f t="shared" si="15"/>
        <v>3.740669018980779E-3</v>
      </c>
    </row>
    <row r="75" spans="8:13" x14ac:dyDescent="0.25">
      <c r="H75">
        <f>0.95*H74</f>
        <v>262.04505914936209</v>
      </c>
      <c r="I75">
        <f t="shared" si="14"/>
        <v>9.1587302114787548</v>
      </c>
      <c r="J75">
        <f>SUMIFS(positions[Liquidity],positions[Pb],"&gt;=" &amp;H75,positions[Pa],"&lt;" &amp;H75)</f>
        <v>78265.537899999996</v>
      </c>
      <c r="K75">
        <f>xAmount(SQRT(H75),positions[Pa],positions[Pb],positions[Liquidity])</f>
        <v>3862.1599185207397</v>
      </c>
      <c r="L75">
        <f>yAmount(SQRT(H75),positions[Pa],positions[Pb],positions[Liquidity])</f>
        <v>94307.58921619234</v>
      </c>
      <c r="M75">
        <f t="shared" si="15"/>
        <v>3.8378454357898672E-3</v>
      </c>
    </row>
    <row r="76" spans="8:13" x14ac:dyDescent="0.25">
      <c r="H76">
        <f t="shared" ref="H76" si="16">0.95*H75</f>
        <v>248.94280619189396</v>
      </c>
      <c r="I76">
        <f t="shared" si="14"/>
        <v>9.6407686436618487</v>
      </c>
      <c r="J76">
        <f>SUMIFS(positions[Liquidity],positions[Pb],"&gt;=" &amp;H76,positions[Pa],"&lt;" &amp;H76)</f>
        <v>78265.537899999996</v>
      </c>
      <c r="K76">
        <f>xAmount(SQRT(H76),positions[Pa],positions[Pb],positions[Liquidity])</f>
        <v>3987.7612331770933</v>
      </c>
      <c r="L76">
        <f>yAmount(SQRT(H76),positions[Pa],positions[Pb],positions[Liquidity])</f>
        <v>62227.766224342238</v>
      </c>
      <c r="M76">
        <f t="shared" si="15"/>
        <v>3.9375463357692328E-3</v>
      </c>
    </row>
    <row r="77" spans="8:13" x14ac:dyDescent="0.25">
      <c r="H77">
        <f>0.95*H76</f>
        <v>236.49566588229925</v>
      </c>
      <c r="I77">
        <f t="shared" si="14"/>
        <v>10.148177519644053</v>
      </c>
      <c r="J77">
        <f>SUMIFS(positions[Liquidity],positions[Pb],"&gt;=" &amp;H77,positions[Pa],"&lt;" &amp;H77)</f>
        <v>78265.537899999996</v>
      </c>
      <c r="K77">
        <f>xAmount(SQRT(H77),positions[Pa],positions[Pb],positions[Liquidity])</f>
        <v>4116.6254630079475</v>
      </c>
      <c r="L77">
        <f>yAmount(SQRT(H77),positions[Pa],positions[Pb],positions[Liquidity])</f>
        <v>30960.222492398665</v>
      </c>
      <c r="M77">
        <f t="shared" si="15"/>
        <v>4.4893790816121232E-3</v>
      </c>
    </row>
    <row r="78" spans="8:13" x14ac:dyDescent="0.25">
      <c r="H78">
        <f t="shared" ref="H78" si="17">0.95*H77</f>
        <v>224.67088258818427</v>
      </c>
      <c r="I78">
        <f t="shared" si="14"/>
        <v>10.682292125941109</v>
      </c>
      <c r="J78">
        <f>SUMIFS(positions[Liquidity],positions[Pb],"&gt;=" &amp;H78,positions[Pa],"&lt;" &amp;H78)</f>
        <v>231.26159999999999</v>
      </c>
      <c r="K78">
        <f>xAmount(SQRT(H78),positions[Pa],positions[Pb],positions[Liquidity])</f>
        <v>4235.5983981482914</v>
      </c>
      <c r="L78">
        <f>yAmount(SQRT(H78),positions[Pa],positions[Pb],positions[Liquidity])</f>
        <v>3466.3859975735527</v>
      </c>
      <c r="M78">
        <f t="shared" si="15"/>
        <v>2.5220266705670603E-3</v>
      </c>
    </row>
  </sheetData>
  <phoneticPr fontId="1" type="noConversion"/>
  <pageMargins left="0.7" right="0.7" top="0.75" bottom="0.75" header="0.3" footer="0.3"/>
  <drawing r:id="rId1"/>
  <tableParts count="1">
    <tablePart r:id="rId2"/>
  </tableParts>
  <extLst>
    <ext xmlns:x15="http://schemas.microsoft.com/office/spreadsheetml/2010/11/main" uri="{F7C9EE02-42E1-4005-9D12-6889AFFD525C}">
      <x15:webExtensions xmlns:xm="http://schemas.microsoft.com/office/excel/2006/main">
        <x15:webExtension appRef="{E3772931-40A1-48CB-9F89-0EF1257D9520}">
          <xm:f>#REF!</xm:f>
        </x15:webExtension>
      </x15:webExtens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906B89B-DEBC-438A-B70A-0E1BCA899E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Liquidity stats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Aloys Cretegny</dc:creator>
  <cp:lastModifiedBy>Aloys Cretegny</cp:lastModifiedBy>
  <dcterms:created xsi:type="dcterms:W3CDTF">2015-06-05T18:17:20Z</dcterms:created>
  <dcterms:modified xsi:type="dcterms:W3CDTF">2024-02-07T15:30:01Z</dcterms:modified>
</cp:coreProperties>
</file>